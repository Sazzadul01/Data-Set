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7ED23569-E778-4C2C-95FA-5352A2FB3276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Sheet1" sheetId="1" r:id="rId1"/>
    <sheet name="Sheet3" sheetId="3" r:id="rId2"/>
    <sheet name="Sheet2" sheetId="2" r:id="rId3"/>
    <sheet name="Employee" sheetId="4" r:id="rId4"/>
    <sheet name="BD_Sales" sheetId="5" r:id="rId5"/>
    <sheet name="Date" sheetId="6" r:id="rId6"/>
    <sheet name="Pivot Table" sheetId="7" r:id="rId7"/>
  </sheets>
  <definedNames>
    <definedName name="_xlnm._FilterDatabase" localSheetId="4" hidden="1">BD_Sales!$P$1:$P$6</definedName>
    <definedName name="_xlnm._FilterDatabase" localSheetId="2" hidden="1">Sheet2!$M$1:$Q$16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D2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X4" i="5"/>
  <c r="Y4" i="5"/>
  <c r="Z4" i="5"/>
  <c r="AA4" i="5"/>
  <c r="AB4" i="5"/>
  <c r="AC4" i="5"/>
  <c r="AD4" i="5"/>
  <c r="AE4" i="5"/>
  <c r="AF4" i="5"/>
  <c r="AG4" i="5"/>
  <c r="X5" i="5"/>
  <c r="Y5" i="5"/>
  <c r="Z5" i="5"/>
  <c r="AA5" i="5"/>
  <c r="AB5" i="5"/>
  <c r="AC5" i="5"/>
  <c r="AD5" i="5"/>
  <c r="AE5" i="5"/>
  <c r="AF5" i="5"/>
  <c r="AG5" i="5"/>
  <c r="X6" i="5"/>
  <c r="Y6" i="5"/>
  <c r="Z6" i="5"/>
  <c r="AA6" i="5"/>
  <c r="AB6" i="5"/>
  <c r="AC6" i="5"/>
  <c r="AD6" i="5"/>
  <c r="AE6" i="5"/>
  <c r="AF6" i="5"/>
  <c r="AG6" i="5"/>
  <c r="X7" i="5"/>
  <c r="Y7" i="5"/>
  <c r="Z7" i="5"/>
  <c r="AA7" i="5"/>
  <c r="AB7" i="5"/>
  <c r="AC7" i="5"/>
  <c r="AD7" i="5"/>
  <c r="AE7" i="5"/>
  <c r="AF7" i="5"/>
  <c r="AG7" i="5"/>
  <c r="X8" i="5"/>
  <c r="Y8" i="5"/>
  <c r="Z8" i="5"/>
  <c r="AA8" i="5"/>
  <c r="AB8" i="5"/>
  <c r="AC8" i="5"/>
  <c r="AD8" i="5"/>
  <c r="AE8" i="5"/>
  <c r="AF8" i="5"/>
  <c r="AG8" i="5"/>
  <c r="X9" i="5"/>
  <c r="Y9" i="5"/>
  <c r="Z9" i="5"/>
  <c r="AA9" i="5"/>
  <c r="AB9" i="5"/>
  <c r="AC9" i="5"/>
  <c r="AD9" i="5"/>
  <c r="AE9" i="5"/>
  <c r="AF9" i="5"/>
  <c r="AG9" i="5"/>
  <c r="X10" i="5"/>
  <c r="Y10" i="5"/>
  <c r="Z10" i="5"/>
  <c r="AA10" i="5"/>
  <c r="AB10" i="5"/>
  <c r="AC10" i="5"/>
  <c r="AD10" i="5"/>
  <c r="AE10" i="5"/>
  <c r="AF10" i="5"/>
  <c r="AG10" i="5"/>
  <c r="X11" i="5"/>
  <c r="Y11" i="5"/>
  <c r="Z11" i="5"/>
  <c r="AA11" i="5"/>
  <c r="AB11" i="5"/>
  <c r="AC11" i="5"/>
  <c r="AD11" i="5"/>
  <c r="AE11" i="5"/>
  <c r="AF11" i="5"/>
  <c r="AG11" i="5"/>
  <c r="X12" i="5"/>
  <c r="Y12" i="5"/>
  <c r="Z12" i="5"/>
  <c r="AA12" i="5"/>
  <c r="AB12" i="5"/>
  <c r="AC12" i="5"/>
  <c r="AD12" i="5"/>
  <c r="AE12" i="5"/>
  <c r="AF12" i="5"/>
  <c r="AG12" i="5"/>
  <c r="Y3" i="5"/>
  <c r="Z3" i="5"/>
  <c r="AA3" i="5"/>
  <c r="AB3" i="5"/>
  <c r="AC3" i="5"/>
  <c r="AD3" i="5"/>
  <c r="AE3" i="5"/>
  <c r="AF3" i="5"/>
  <c r="AG3" i="5"/>
  <c r="X3" i="5"/>
  <c r="T4" i="5"/>
  <c r="T5" i="5"/>
  <c r="T6" i="5"/>
  <c r="T7" i="5"/>
  <c r="T8" i="5"/>
  <c r="T9" i="5"/>
  <c r="T10" i="5"/>
  <c r="T3" i="5"/>
  <c r="M17" i="5"/>
  <c r="N17" i="5"/>
  <c r="O17" i="5"/>
  <c r="P17" i="5"/>
  <c r="Q17" i="5"/>
  <c r="M18" i="5"/>
  <c r="N18" i="5"/>
  <c r="O18" i="5"/>
  <c r="P18" i="5"/>
  <c r="Q18" i="5"/>
  <c r="M19" i="5"/>
  <c r="N19" i="5"/>
  <c r="O19" i="5"/>
  <c r="P19" i="5"/>
  <c r="Q19" i="5"/>
  <c r="M20" i="5"/>
  <c r="N20" i="5"/>
  <c r="O20" i="5"/>
  <c r="P20" i="5"/>
  <c r="Q20" i="5"/>
  <c r="M21" i="5"/>
  <c r="N21" i="5"/>
  <c r="O21" i="5"/>
  <c r="P21" i="5"/>
  <c r="Q21" i="5"/>
  <c r="M22" i="5"/>
  <c r="N22" i="5"/>
  <c r="O22" i="5"/>
  <c r="P22" i="5"/>
  <c r="Q22" i="5"/>
  <c r="M23" i="5"/>
  <c r="N23" i="5"/>
  <c r="O23" i="5"/>
  <c r="P23" i="5"/>
  <c r="Q23" i="5"/>
  <c r="M24" i="5"/>
  <c r="N24" i="5"/>
  <c r="O24" i="5"/>
  <c r="P24" i="5"/>
  <c r="Q24" i="5"/>
  <c r="M25" i="5"/>
  <c r="N25" i="5"/>
  <c r="O25" i="5"/>
  <c r="P25" i="5"/>
  <c r="Q25" i="5"/>
  <c r="N16" i="5"/>
  <c r="O16" i="5"/>
  <c r="P16" i="5"/>
  <c r="Q16" i="5"/>
  <c r="M16" i="5"/>
  <c r="M1" i="5"/>
  <c r="N2" i="5" s="1"/>
  <c r="N3" i="5"/>
  <c r="N4" i="5"/>
  <c r="N5" i="5"/>
  <c r="N6" i="5"/>
  <c r="N7" i="5"/>
  <c r="N8" i="5"/>
  <c r="N9" i="5"/>
  <c r="N10" i="5"/>
  <c r="N11" i="5"/>
  <c r="R3" i="4"/>
  <c r="P8" i="4"/>
  <c r="O3" i="4" a="1"/>
  <c r="O3" i="4" s="1"/>
  <c r="O4" i="4" a="1"/>
  <c r="O4" i="4" s="1"/>
  <c r="O5" i="4" a="1"/>
  <c r="O5" i="4" s="1"/>
  <c r="O2" i="4" a="1"/>
  <c r="O2" i="4" s="1"/>
  <c r="H3" i="4"/>
  <c r="H4" i="4"/>
  <c r="H5" i="4"/>
  <c r="H2" i="4"/>
  <c r="D2" i="3"/>
  <c r="F4" i="3"/>
  <c r="F3" i="3"/>
  <c r="S1" i="2" a="1"/>
  <c r="S1" i="2" s="1"/>
  <c r="Q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P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J3" i="2"/>
  <c r="J4" i="2"/>
  <c r="J5" i="2"/>
  <c r="J6" i="2"/>
  <c r="J7" i="2"/>
  <c r="J8" i="2"/>
  <c r="J9" i="2"/>
  <c r="J2" i="2"/>
  <c r="D2" i="2"/>
  <c r="D1" i="2"/>
  <c r="C2" i="2"/>
  <c r="C1" i="2"/>
  <c r="N3" i="1"/>
  <c r="M3" i="1"/>
  <c r="G15" i="1"/>
  <c r="E15" i="1"/>
  <c r="F2" i="1"/>
  <c r="M4" i="1"/>
  <c r="M5" i="1"/>
  <c r="M6" i="1"/>
  <c r="M7" i="1"/>
  <c r="M8" i="1"/>
  <c r="M9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<sst xmlns="http://schemas.openxmlformats.org/spreadsheetml/2006/main" count="1391" uniqueCount="346">
  <si>
    <t>A</t>
  </si>
  <si>
    <t>B</t>
  </si>
  <si>
    <t>C</t>
  </si>
  <si>
    <t>Total</t>
  </si>
  <si>
    <t>E</t>
  </si>
  <si>
    <t>f</t>
  </si>
  <si>
    <t>g</t>
  </si>
  <si>
    <t>ert</t>
  </si>
  <si>
    <t>Sazzad</t>
  </si>
  <si>
    <t>Sazzad-2345</t>
  </si>
  <si>
    <t>Djdjg-3456</t>
  </si>
  <si>
    <t>a</t>
  </si>
  <si>
    <t>b</t>
  </si>
  <si>
    <t>c</t>
  </si>
  <si>
    <t>Condition</t>
  </si>
  <si>
    <t>Saturday</t>
  </si>
  <si>
    <t>Sunday</t>
  </si>
  <si>
    <t>Monday</t>
  </si>
  <si>
    <t>Tuesday</t>
  </si>
  <si>
    <t>Wednesday</t>
  </si>
  <si>
    <t>Thursday</t>
  </si>
  <si>
    <t>Friday</t>
  </si>
  <si>
    <t>Column1</t>
  </si>
  <si>
    <t>Column2</t>
  </si>
  <si>
    <t>Column3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</si>
  <si>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</si>
  <si>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</si>
  <si>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</si>
  <si>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</si>
  <si>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</si>
  <si>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</si>
  <si>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</si>
  <si>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</si>
  <si>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</si>
  <si>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</si>
  <si>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</si>
  <si>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</si>
  <si>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</si>
  <si>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</si>
  <si>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</si>
  <si>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Employee ID</t>
  </si>
  <si>
    <t>Name</t>
  </si>
  <si>
    <t>Department</t>
  </si>
  <si>
    <t>Salary</t>
  </si>
  <si>
    <t>Joining Date</t>
  </si>
  <si>
    <t>EMP001</t>
  </si>
  <si>
    <t>Employee_1</t>
  </si>
  <si>
    <t>Finance</t>
  </si>
  <si>
    <t>01-01-2020</t>
  </si>
  <si>
    <t>EMP002</t>
  </si>
  <si>
    <t>Employee_2</t>
  </si>
  <si>
    <t>Operations</t>
  </si>
  <si>
    <t>02-01-2020</t>
  </si>
  <si>
    <t>EMP003</t>
  </si>
  <si>
    <t>Employee_3</t>
  </si>
  <si>
    <t>Sales</t>
  </si>
  <si>
    <t>03-01-2020</t>
  </si>
  <si>
    <t>EMP004</t>
  </si>
  <si>
    <t>Employee_4</t>
  </si>
  <si>
    <t>04-01-2020</t>
  </si>
  <si>
    <t>EMP005</t>
  </si>
  <si>
    <t>Employee_5</t>
  </si>
  <si>
    <t>05-01-2020</t>
  </si>
  <si>
    <t>EMP006</t>
  </si>
  <si>
    <t>Employee_6</t>
  </si>
  <si>
    <t>06-01-2020</t>
  </si>
  <si>
    <t>EMP007</t>
  </si>
  <si>
    <t>Employee_7</t>
  </si>
  <si>
    <t>07-01-2020</t>
  </si>
  <si>
    <t>EMP008</t>
  </si>
  <si>
    <t>Employee_8</t>
  </si>
  <si>
    <t>08-01-2020</t>
  </si>
  <si>
    <t>EMP009</t>
  </si>
  <si>
    <t>Employee_9</t>
  </si>
  <si>
    <t>09-01-2020</t>
  </si>
  <si>
    <t>EMP010</t>
  </si>
  <si>
    <t>Employee_10</t>
  </si>
  <si>
    <t>10-01-2020</t>
  </si>
  <si>
    <t>EMP011</t>
  </si>
  <si>
    <t>Employee_11</t>
  </si>
  <si>
    <t>11-01-2020</t>
  </si>
  <si>
    <t>EMP012</t>
  </si>
  <si>
    <t>Employee_12</t>
  </si>
  <si>
    <t>12-01-2020</t>
  </si>
  <si>
    <t>Emp</t>
  </si>
  <si>
    <t>Salary2</t>
  </si>
  <si>
    <t>match</t>
  </si>
  <si>
    <t>Sale Date</t>
  </si>
  <si>
    <t>Customer Name</t>
  </si>
  <si>
    <t>City</t>
  </si>
  <si>
    <t>Region</t>
  </si>
  <si>
    <t>Product Category</t>
  </si>
  <si>
    <t>Product Name</t>
  </si>
  <si>
    <t>Quantity</t>
  </si>
  <si>
    <t>Price per Unit (BDT)</t>
  </si>
  <si>
    <t>Sales Amount (BDT)</t>
  </si>
  <si>
    <t>25-02-2026</t>
  </si>
  <si>
    <t>Rahim</t>
  </si>
  <si>
    <t>Dhaka</t>
  </si>
  <si>
    <t>Central</t>
  </si>
  <si>
    <t>Furniture</t>
  </si>
  <si>
    <t>Table</t>
  </si>
  <si>
    <t>01-02-2026</t>
  </si>
  <si>
    <t>Karim</t>
  </si>
  <si>
    <t>Chattogram</t>
  </si>
  <si>
    <t>South-East</t>
  </si>
  <si>
    <t>Stationery</t>
  </si>
  <si>
    <t>Notebook</t>
  </si>
  <si>
    <t>05-02-2026</t>
  </si>
  <si>
    <t>Nusrat</t>
  </si>
  <si>
    <t>Khulna</t>
  </si>
  <si>
    <t>South-West</t>
  </si>
  <si>
    <t>Clothing</t>
  </si>
  <si>
    <t>Shirt</t>
  </si>
  <si>
    <t>10-02-2026</t>
  </si>
  <si>
    <t>Sadia</t>
  </si>
  <si>
    <t>Rajshahi</t>
  </si>
  <si>
    <t>North-West</t>
  </si>
  <si>
    <t>Groceries</t>
  </si>
  <si>
    <t>Rice (50kg)</t>
  </si>
  <si>
    <t>12-02-2026</t>
  </si>
  <si>
    <t>Arif</t>
  </si>
  <si>
    <t>Sylhet</t>
  </si>
  <si>
    <t>North-East</t>
  </si>
  <si>
    <t>Electronics</t>
  </si>
  <si>
    <t>Headphones</t>
  </si>
  <si>
    <t>15-02-2026</t>
  </si>
  <si>
    <t>Tanvir</t>
  </si>
  <si>
    <t>Barishal</t>
  </si>
  <si>
    <t>South</t>
  </si>
  <si>
    <t>Chair</t>
  </si>
  <si>
    <t>18-02-2026</t>
  </si>
  <si>
    <t>Mim</t>
  </si>
  <si>
    <t>Rangpur</t>
  </si>
  <si>
    <t>North</t>
  </si>
  <si>
    <t>Pen Box</t>
  </si>
  <si>
    <t>20-02-2026</t>
  </si>
  <si>
    <t>Hasan</t>
  </si>
  <si>
    <t>Mymensingh</t>
  </si>
  <si>
    <t>Central-East</t>
  </si>
  <si>
    <t>Pants</t>
  </si>
  <si>
    <t>22-02-2026</t>
  </si>
  <si>
    <t>Jannat</t>
  </si>
  <si>
    <t>Cumilla</t>
  </si>
  <si>
    <t>Sugar (10kg)</t>
  </si>
  <si>
    <t>24-02-2026</t>
  </si>
  <si>
    <t>Sabbir</t>
  </si>
  <si>
    <t>Narayanganj</t>
  </si>
  <si>
    <t>Laptop</t>
  </si>
  <si>
    <t>COUNTIF</t>
  </si>
  <si>
    <t>State/catagori</t>
  </si>
  <si>
    <t>COUNTIFS</t>
  </si>
  <si>
    <t>SUMIF</t>
  </si>
  <si>
    <t>SUMIFS</t>
  </si>
  <si>
    <t>Product Name/STATE</t>
  </si>
  <si>
    <t>Start Date</t>
  </si>
  <si>
    <t>End Date</t>
  </si>
  <si>
    <t>2026-03-15</t>
  </si>
  <si>
    <t>2026-04-20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</si>
  <si>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</si>
  <si>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</si>
  <si>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</si>
  <si>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</si>
  <si>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</si>
  <si>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</si>
  <si>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</si>
  <si>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Make Formate</t>
  </si>
  <si>
    <t>Day</t>
  </si>
  <si>
    <t>Month</t>
  </si>
  <si>
    <t>Year</t>
  </si>
  <si>
    <t>Day Remaining</t>
  </si>
  <si>
    <t>Age</t>
  </si>
  <si>
    <t>End Month</t>
  </si>
  <si>
    <t>WorkDay</t>
  </si>
  <si>
    <t>25-02-2027</t>
  </si>
  <si>
    <t>01-02-2027</t>
  </si>
  <si>
    <t>05-02-2027</t>
  </si>
  <si>
    <t>10-02-2027</t>
  </si>
  <si>
    <t>12-02-2027</t>
  </si>
  <si>
    <t>15-02-2027</t>
  </si>
  <si>
    <t>18-02-2027</t>
  </si>
  <si>
    <t>20-02-2027</t>
  </si>
  <si>
    <t>22-02-2027</t>
  </si>
  <si>
    <t>24-02-2027</t>
  </si>
  <si>
    <t>25-02-2028</t>
  </si>
  <si>
    <t>01-02-2028</t>
  </si>
  <si>
    <t>05-02-2028</t>
  </si>
  <si>
    <t>10-02-2028</t>
  </si>
  <si>
    <t>12-02-2028</t>
  </si>
  <si>
    <t>15-02-2028</t>
  </si>
  <si>
    <t>18-02-2028</t>
  </si>
  <si>
    <t>20-02-2028</t>
  </si>
  <si>
    <t>22-02-2028</t>
  </si>
  <si>
    <t>24-02-2028</t>
  </si>
  <si>
    <t>25-02-2029</t>
  </si>
  <si>
    <t>01-02-2029</t>
  </si>
  <si>
    <t>05-02-2029</t>
  </si>
  <si>
    <t>10-02-2029</t>
  </si>
  <si>
    <t>12-02-2029</t>
  </si>
  <si>
    <t>15-02-2029</t>
  </si>
  <si>
    <t>18-02-2029</t>
  </si>
  <si>
    <t>20-02-2029</t>
  </si>
  <si>
    <t>22-02-2029</t>
  </si>
  <si>
    <t>24-02-2029</t>
  </si>
  <si>
    <t>25-02-2030</t>
  </si>
  <si>
    <t>01-02-2030</t>
  </si>
  <si>
    <t>05-02-2030</t>
  </si>
  <si>
    <t>10-02-2030</t>
  </si>
  <si>
    <t>12-02-2030</t>
  </si>
  <si>
    <t>15-02-2030</t>
  </si>
  <si>
    <t>18-02-2030</t>
  </si>
  <si>
    <t>20-02-2030</t>
  </si>
  <si>
    <t>22-02-2030</t>
  </si>
  <si>
    <t>24-02-2030</t>
  </si>
  <si>
    <t>25-02-2031</t>
  </si>
  <si>
    <t>25-02-2032</t>
  </si>
  <si>
    <t>25-02-2033</t>
  </si>
  <si>
    <t>25-02-2034</t>
  </si>
  <si>
    <t>25-02-2035</t>
  </si>
  <si>
    <t>01-02-2031</t>
  </si>
  <si>
    <t>05-02-2031</t>
  </si>
  <si>
    <t>10-02-2031</t>
  </si>
  <si>
    <t>12-02-2031</t>
  </si>
  <si>
    <t>15-02-2031</t>
  </si>
  <si>
    <t>18-02-2031</t>
  </si>
  <si>
    <t>20-02-2031</t>
  </si>
  <si>
    <t>22-02-2031</t>
  </si>
  <si>
    <t>24-02-2031</t>
  </si>
  <si>
    <t>01-02-2032</t>
  </si>
  <si>
    <t>05-02-2032</t>
  </si>
  <si>
    <t>10-02-2032</t>
  </si>
  <si>
    <t>12-02-2032</t>
  </si>
  <si>
    <t>15-02-2032</t>
  </si>
  <si>
    <t>18-02-2032</t>
  </si>
  <si>
    <t>20-02-2032</t>
  </si>
  <si>
    <t>22-02-2032</t>
  </si>
  <si>
    <t>24-02-2032</t>
  </si>
  <si>
    <t>01-02-2033</t>
  </si>
  <si>
    <t>05-02-2033</t>
  </si>
  <si>
    <t>10-02-2033</t>
  </si>
  <si>
    <t>12-02-2033</t>
  </si>
  <si>
    <t>15-02-2033</t>
  </si>
  <si>
    <t>18-02-2033</t>
  </si>
  <si>
    <t>20-02-2033</t>
  </si>
  <si>
    <t>22-02-2033</t>
  </si>
  <si>
    <t>24-02-2033</t>
  </si>
  <si>
    <t>01-02-2034</t>
  </si>
  <si>
    <t>05-02-2034</t>
  </si>
  <si>
    <t>10-02-2034</t>
  </si>
  <si>
    <t>12-02-2034</t>
  </si>
  <si>
    <t>15-02-2034</t>
  </si>
  <si>
    <t>18-02-2034</t>
  </si>
  <si>
    <t>20-02-2034</t>
  </si>
  <si>
    <t>22-02-2034</t>
  </si>
  <si>
    <t>24-02-2034</t>
  </si>
  <si>
    <t>01-02-2035</t>
  </si>
  <si>
    <t>05-02-2035</t>
  </si>
  <si>
    <t>10-02-2035</t>
  </si>
  <si>
    <t>12-02-2035</t>
  </si>
  <si>
    <t>15-02-2035</t>
  </si>
  <si>
    <t>18-02-2035</t>
  </si>
  <si>
    <t>20-02-2035</t>
  </si>
  <si>
    <t>22-02-2035</t>
  </si>
  <si>
    <t>24-02-2035</t>
  </si>
  <si>
    <t>25-02-2036</t>
  </si>
  <si>
    <t>01-02-2036</t>
  </si>
  <si>
    <t>05-02-2036</t>
  </si>
  <si>
    <t>10-02-2036</t>
  </si>
  <si>
    <t>12-02-2036</t>
  </si>
  <si>
    <t>15-02-2036</t>
  </si>
  <si>
    <t>18-02-2036</t>
  </si>
  <si>
    <t>20-02-2036</t>
  </si>
  <si>
    <t>22-02-2036</t>
  </si>
  <si>
    <t>24-02-2036</t>
  </si>
  <si>
    <t>25-02-2037</t>
  </si>
  <si>
    <t>01-02-2037</t>
  </si>
  <si>
    <t>05-02-2037</t>
  </si>
  <si>
    <t>10-02-2037</t>
  </si>
  <si>
    <t>12-02-2037</t>
  </si>
  <si>
    <t>15-02-2037</t>
  </si>
  <si>
    <t>18-02-2037</t>
  </si>
  <si>
    <t>20-02-2037</t>
  </si>
  <si>
    <t>22-02-2037</t>
  </si>
  <si>
    <t>24-02-2037</t>
  </si>
  <si>
    <t>25-02-2038</t>
  </si>
  <si>
    <t>01-02-2038</t>
  </si>
  <si>
    <t>05-02-2038</t>
  </si>
  <si>
    <t>10-02-2038</t>
  </si>
  <si>
    <t>12-02-2038</t>
  </si>
  <si>
    <t>15-02-2038</t>
  </si>
  <si>
    <t>18-02-2038</t>
  </si>
  <si>
    <t>20-02-2038</t>
  </si>
  <si>
    <t>22-02-2038</t>
  </si>
  <si>
    <t>24-02-2038</t>
  </si>
  <si>
    <t>25-02-2039</t>
  </si>
  <si>
    <t>01-02-2039</t>
  </si>
  <si>
    <t>05-02-2039</t>
  </si>
  <si>
    <t>10-02-2039</t>
  </si>
  <si>
    <t>12-02-2039</t>
  </si>
  <si>
    <t>15-02-2039</t>
  </si>
  <si>
    <t>18-02-2039</t>
  </si>
  <si>
    <t>20-02-2039</t>
  </si>
  <si>
    <t>22-02-2039</t>
  </si>
  <si>
    <t>24-02-2039</t>
  </si>
  <si>
    <t>25-02-2040</t>
  </si>
  <si>
    <t>01-02-2040</t>
  </si>
  <si>
    <t>05-02-2040</t>
  </si>
  <si>
    <t>10-02-2040</t>
  </si>
  <si>
    <t>12-02-2040</t>
  </si>
  <si>
    <t>15-02-2040</t>
  </si>
  <si>
    <t>18-02-2040</t>
  </si>
  <si>
    <t>20-02-2040</t>
  </si>
  <si>
    <t>22-02-2040</t>
  </si>
  <si>
    <t>24-02-2040</t>
  </si>
  <si>
    <t>25-02-2041</t>
  </si>
  <si>
    <t>01-02-2041</t>
  </si>
  <si>
    <t>05-02-2041</t>
  </si>
  <si>
    <t>10-02-2041</t>
  </si>
  <si>
    <t>12-02-2041</t>
  </si>
  <si>
    <t>15-02-2041</t>
  </si>
  <si>
    <t>18-02-2041</t>
  </si>
  <si>
    <t>20-02-2041</t>
  </si>
  <si>
    <t>22-02-2041</t>
  </si>
  <si>
    <t>24-02-2041</t>
  </si>
  <si>
    <t>25-02-2042</t>
  </si>
  <si>
    <t>01-02-2042</t>
  </si>
  <si>
    <t>05-02-2042</t>
  </si>
  <si>
    <t>10-02-2042</t>
  </si>
  <si>
    <t>12-02-2042</t>
  </si>
  <si>
    <t>15-02-2042</t>
  </si>
  <si>
    <t>18-02-2042</t>
  </si>
  <si>
    <t>20-02-2042</t>
  </si>
  <si>
    <t>22-02-2042</t>
  </si>
  <si>
    <t>24-02-2042</t>
  </si>
  <si>
    <t>25-02-2043</t>
  </si>
  <si>
    <t>01-02-2043</t>
  </si>
  <si>
    <t>05-02-2043</t>
  </si>
  <si>
    <t>10-02-2043</t>
  </si>
  <si>
    <t>12-02-2043</t>
  </si>
  <si>
    <t>15-02-2043</t>
  </si>
  <si>
    <t>18-02-2043</t>
  </si>
  <si>
    <t>20-02-2043</t>
  </si>
  <si>
    <t>22-02-2043</t>
  </si>
  <si>
    <t>24-02-2043</t>
  </si>
  <si>
    <t>25-02-2044</t>
  </si>
  <si>
    <t>01-02-2044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</si>
</sst>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9" formatCode="dd\-mm\-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0" xfId="0" applyFont="1"/>
    <xf numFmtId="49" fontId="0" fillId="0" borderId="0" xfId="0" applyNumberFormat="1"/>
    <xf numFmtId="14" fontId="4" fillId="0" borderId="0" xfId="0" applyNumberFormat="1" applyFont="1"/>
    <xf numFmtId="0" fontId="0" fillId="0" borderId="0" xfId="0"/>
    <xf numFmtId="2" fontId="0" fillId="0" borderId="0" xfId="0" applyNumberFormat="1"/>
    <xf numFmtId="14" fontId="1" fillId="0" borderId="0" xfId="0" applyNumberFormat="1" applyFont="1"/>
    <xf numFmtId="2" fontId="1" fillId="0" borderId="0" xfId="0" applyNumberFormat="1" applyFont="1"/>
    <xf numFmtId="169" fontId="4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D467E3-4763-40E0-84C5-D7822BD87014}" name="Table3" displayName="Table3" ref="K2:M17" totalsRowShown="0">
  <tableColumns count="3">
    <tableColumn id="1" xr3:uid="{258C3597-32C4-46D8-85A2-B6FDF4B344A8}" name="Column1"/>
    <tableColumn id="2" xr3:uid="{71AD2121-01EF-4E39-B1BF-56C0FE1F5451}" name="Column2"/>
    <tableColumn id="3" xr3:uid="{21A7239B-A97A-49C1-8A0B-56BD143C82BE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I1" sqref="I1:K9"/>
    </sheetView>
  </sheetViews>
  <sheetFormatPr defaultRowHeight="14.4" x14ac:dyDescent="0.3"/>
  <cols>
    <col min="1" max="1" width="24.21875" bestFit="1" customWidth="1"/>
    <col min="2" max="2" width="24.6640625" bestFit="1" customWidth="1"/>
    <col min="3" max="3" width="24" bestFit="1" customWidth="1"/>
    <col min="4" max="4" width="22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/>
      <c r="I1" t="s">
        <v>4</v>
      </c>
      <c r="J1" t="s">
        <v>5</v>
      </c>
      <c r="K1" t="s">
        <v>6</v>
      </c>
      <c r="M1" t="s">
        <v>3</v>
      </c>
    </row>
    <row r="2" spans="1:16" x14ac:dyDescent="0.3">
      <c r="A2" s="2">
        <v>45294</v>
      </c>
      <c r="B2" s="2">
        <v>45658</v>
      </c>
      <c r="C2" s="2">
        <v>46023</v>
      </c>
      <c r="D2" s="1"/>
      <c r="E2" t="s">
        <v>7</v>
      </c>
      <c r="F2">
        <f>LEN(E2)</f>
        <v>3</v>
      </c>
      <c r="I2">
        <v>1</v>
      </c>
      <c r="J2">
        <v>1</v>
      </c>
      <c r="K2">
        <v>5</v>
      </c>
      <c r="M2">
        <f>SUM(I2+J2+K2)+$P2</f>
        <v>17</v>
      </c>
      <c r="P2">
        <v>10</v>
      </c>
    </row>
    <row r="3" spans="1:16" x14ac:dyDescent="0.3">
      <c r="A3" s="2">
        <v>45325</v>
      </c>
      <c r="B3" s="2">
        <v>45689</v>
      </c>
      <c r="C3" s="2">
        <v>46054</v>
      </c>
      <c r="D3" s="1"/>
      <c r="I3">
        <v>2</v>
      </c>
      <c r="J3">
        <v>3</v>
      </c>
      <c r="K3">
        <v>9</v>
      </c>
      <c r="M3">
        <f t="shared" ref="M3:M9" si="0">SUM(I3+J3+K3)+$P3</f>
        <v>14</v>
      </c>
      <c r="N3">
        <f>IF(I3&lt;0,0,I3)</f>
        <v>2</v>
      </c>
    </row>
    <row r="4" spans="1:16" x14ac:dyDescent="0.3">
      <c r="A4" s="2">
        <v>45354</v>
      </c>
      <c r="B4" s="2">
        <v>45717</v>
      </c>
      <c r="C4" s="2">
        <v>46082</v>
      </c>
      <c r="D4" s="1"/>
      <c r="I4">
        <v>3</v>
      </c>
      <c r="J4">
        <v>5</v>
      </c>
      <c r="K4">
        <v>13</v>
      </c>
      <c r="M4">
        <f t="shared" si="0"/>
        <v>21</v>
      </c>
    </row>
    <row r="5" spans="1:16" x14ac:dyDescent="0.3">
      <c r="A5" s="2">
        <v>45385</v>
      </c>
      <c r="B5" s="2">
        <v>45748</v>
      </c>
      <c r="C5" s="2">
        <v>46113</v>
      </c>
      <c r="D5" s="1"/>
      <c r="I5">
        <v>4</v>
      </c>
      <c r="J5">
        <v>7</v>
      </c>
      <c r="K5">
        <v>17</v>
      </c>
      <c r="M5">
        <f t="shared" si="0"/>
        <v>28</v>
      </c>
    </row>
    <row r="6" spans="1:16" x14ac:dyDescent="0.3">
      <c r="A6" s="2">
        <v>45415</v>
      </c>
      <c r="B6" s="2">
        <v>45778</v>
      </c>
      <c r="C6" s="2">
        <v>46143</v>
      </c>
      <c r="D6" s="1"/>
      <c r="I6">
        <v>5</v>
      </c>
      <c r="J6">
        <v>9</v>
      </c>
      <c r="K6">
        <v>21</v>
      </c>
      <c r="M6">
        <f t="shared" si="0"/>
        <v>35</v>
      </c>
    </row>
    <row r="7" spans="1:16" x14ac:dyDescent="0.3">
      <c r="A7" s="2">
        <v>45446</v>
      </c>
      <c r="B7" s="2">
        <v>45809</v>
      </c>
      <c r="C7" s="2">
        <v>46174</v>
      </c>
      <c r="D7" s="1"/>
      <c r="I7">
        <v>6</v>
      </c>
      <c r="J7">
        <v>11</v>
      </c>
      <c r="K7">
        <v>25</v>
      </c>
      <c r="M7">
        <f t="shared" si="0"/>
        <v>42</v>
      </c>
    </row>
    <row r="8" spans="1:16" x14ac:dyDescent="0.3">
      <c r="A8" s="2">
        <v>45476</v>
      </c>
      <c r="B8" s="2">
        <v>45839</v>
      </c>
      <c r="C8" s="2">
        <v>46204</v>
      </c>
      <c r="D8" s="1"/>
      <c r="I8">
        <v>7</v>
      </c>
      <c r="J8">
        <v>13</v>
      </c>
      <c r="K8">
        <v>29</v>
      </c>
      <c r="M8">
        <f t="shared" si="0"/>
        <v>49</v>
      </c>
    </row>
    <row r="9" spans="1:16" x14ac:dyDescent="0.3">
      <c r="A9" s="2">
        <v>45507</v>
      </c>
      <c r="B9" s="2">
        <v>45870</v>
      </c>
      <c r="C9" s="2">
        <v>46235</v>
      </c>
      <c r="D9" s="1"/>
      <c r="I9">
        <v>8</v>
      </c>
      <c r="J9">
        <v>15</v>
      </c>
      <c r="K9">
        <v>33</v>
      </c>
      <c r="M9">
        <f t="shared" si="0"/>
        <v>56</v>
      </c>
    </row>
    <row r="10" spans="1:16" x14ac:dyDescent="0.3">
      <c r="A10" s="2">
        <v>45538</v>
      </c>
      <c r="B10" s="2">
        <v>45901</v>
      </c>
      <c r="C10" s="2">
        <v>46266</v>
      </c>
      <c r="D10" s="1"/>
    </row>
    <row r="11" spans="1:16" x14ac:dyDescent="0.3">
      <c r="A11" s="2">
        <v>45568</v>
      </c>
      <c r="B11" s="2">
        <v>45931</v>
      </c>
      <c r="C11" s="2">
        <v>46296</v>
      </c>
      <c r="D11" s="1"/>
    </row>
    <row r="12" spans="1:16" x14ac:dyDescent="0.3">
      <c r="A12" s="2">
        <v>45599</v>
      </c>
      <c r="B12" s="2">
        <v>45962</v>
      </c>
      <c r="C12" s="2">
        <v>46327</v>
      </c>
      <c r="D12" s="1"/>
    </row>
    <row r="13" spans="1:16" x14ac:dyDescent="0.3">
      <c r="A13" s="2">
        <v>45629</v>
      </c>
      <c r="B13" s="2">
        <v>45992</v>
      </c>
      <c r="C13" s="2">
        <v>46357</v>
      </c>
      <c r="D13" s="1"/>
    </row>
    <row r="15" spans="1:16" x14ac:dyDescent="0.3">
      <c r="D15" s="1" t="s">
        <v>8</v>
      </c>
      <c r="E15" t="str">
        <f>UPPER(D15)</f>
        <v>SAZZAD</v>
      </c>
      <c r="G15" t="str">
        <f>PROPER(D15)</f>
        <v>Sazzad</v>
      </c>
    </row>
    <row r="16" spans="1:16" x14ac:dyDescent="0.3">
      <c r="C16" s="2"/>
    </row>
  </sheetData>
  <conditionalFormatting sqref="A2">
    <cfRule type="containsText" dxfId="0" priority="1" operator="containsText" text="Sunday">
      <formula>NOT(ISERROR(SEARCH("Sunday",A2)))</formula>
    </cfRule>
  </conditionalFormatting>
  <dataValidations count="1">
    <dataValidation errorStyle="warning" allowBlank="1" showInputMessage="1" showErrorMessage="1" error="vafssfsd" sqref="J13" xr:uid="{5FCE571E-AF20-4A34-B385-217C7D6E289B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3650-25D3-412D-8C34-8F7557571AF9}">
  <dimension ref="A1:M17"/>
  <sheetViews>
    <sheetView workbookViewId="0">
      <selection activeCell="O3" sqref="O3"/>
    </sheetView>
  </sheetViews>
  <sheetFormatPr defaultRowHeight="14.4" x14ac:dyDescent="0.3"/>
  <cols>
    <col min="11" max="14" width="10.44140625" customWidth="1"/>
  </cols>
  <sheetData>
    <row r="1" spans="1:13" x14ac:dyDescent="0.3">
      <c r="A1" t="s">
        <v>4</v>
      </c>
      <c r="B1" t="s">
        <v>5</v>
      </c>
      <c r="C1" t="s">
        <v>6</v>
      </c>
      <c r="D1" t="s">
        <v>3</v>
      </c>
    </row>
    <row r="2" spans="1:13" x14ac:dyDescent="0.3">
      <c r="A2">
        <v>1</v>
      </c>
      <c r="B2">
        <v>1</v>
      </c>
      <c r="C2">
        <v>5</v>
      </c>
      <c r="D2" t="e">
        <f>VLOOKUP(B2,Column3,3,1)</f>
        <v>#NAME?</v>
      </c>
      <c r="E2" t="s">
        <v>4</v>
      </c>
      <c r="F2">
        <v>6</v>
      </c>
      <c r="H2">
        <v>1</v>
      </c>
      <c r="K2" t="s">
        <v>22</v>
      </c>
      <c r="L2" t="s">
        <v>23</v>
      </c>
      <c r="M2" t="s">
        <v>24</v>
      </c>
    </row>
    <row r="3" spans="1:13" x14ac:dyDescent="0.3">
      <c r="A3">
        <v>2</v>
      </c>
      <c r="B3">
        <v>3</v>
      </c>
      <c r="C3">
        <v>9</v>
      </c>
      <c r="E3" t="s">
        <v>5</v>
      </c>
      <c r="F3">
        <f>VLOOKUP($F$2,$A$2:$C$9,ROW()-1,0)</f>
        <v>11</v>
      </c>
      <c r="H3">
        <v>2</v>
      </c>
      <c r="K3">
        <v>1</v>
      </c>
      <c r="L3">
        <v>1</v>
      </c>
      <c r="M3" t="s">
        <v>25</v>
      </c>
    </row>
    <row r="4" spans="1:13" x14ac:dyDescent="0.3">
      <c r="A4">
        <v>3</v>
      </c>
      <c r="B4">
        <v>5</v>
      </c>
      <c r="C4">
        <v>13</v>
      </c>
      <c r="E4" t="s">
        <v>6</v>
      </c>
      <c r="F4">
        <f>VLOOKUP($F$2,$A$2:$C$9,ROW()-1,0)</f>
        <v>25</v>
      </c>
      <c r="H4">
        <v>3</v>
      </c>
      <c r="K4">
        <v>2</v>
      </c>
      <c r="L4">
        <v>3</v>
      </c>
      <c r="M4" t="s">
        <v>26</v>
      </c>
    </row>
    <row r="5" spans="1:13" x14ac:dyDescent="0.3">
      <c r="A5">
        <v>4</v>
      </c>
      <c r="B5">
        <v>7</v>
      </c>
      <c r="C5">
        <v>17</v>
      </c>
      <c r="H5">
        <v>4</v>
      </c>
      <c r="K5">
        <v>3</v>
      </c>
      <c r="L5">
        <v>5</v>
      </c>
      <c r="M5" t="s">
        <v>27</v>
      </c>
    </row>
    <row r="6" spans="1:13" x14ac:dyDescent="0.3">
      <c r="A6">
        <v>5</v>
      </c>
      <c r="B6">
        <v>9</v>
      </c>
      <c r="C6">
        <v>21</v>
      </c>
      <c r="H6">
        <v>5</v>
      </c>
      <c r="K6">
        <v>4</v>
      </c>
      <c r="L6">
        <v>7</v>
      </c>
      <c r="M6" t="s">
        <v>28</v>
      </c>
    </row>
    <row r="7" spans="1:13" x14ac:dyDescent="0.3">
      <c r="A7">
        <v>6</v>
      </c>
      <c r="B7">
        <v>11</v>
      </c>
      <c r="C7">
        <v>25</v>
      </c>
      <c r="H7">
        <v>6</v>
      </c>
      <c r="K7">
        <v>5</v>
      </c>
      <c r="L7">
        <v>9</v>
      </c>
      <c r="M7" t="s">
        <v>29</v>
      </c>
    </row>
    <row r="8" spans="1:13" x14ac:dyDescent="0.3">
      <c r="A8">
        <v>7</v>
      </c>
      <c r="B8">
        <v>13</v>
      </c>
      <c r="C8">
        <v>29</v>
      </c>
      <c r="H8">
        <v>7</v>
      </c>
      <c r="K8">
        <v>6</v>
      </c>
      <c r="L8">
        <v>11</v>
      </c>
      <c r="M8" t="s">
        <v>30</v>
      </c>
    </row>
    <row r="9" spans="1:13" x14ac:dyDescent="0.3">
      <c r="A9">
        <v>8</v>
      </c>
      <c r="B9">
        <v>15</v>
      </c>
      <c r="C9">
        <v>33</v>
      </c>
      <c r="H9">
        <v>8</v>
      </c>
      <c r="K9">
        <v>7</v>
      </c>
      <c r="L9">
        <v>13</v>
      </c>
      <c r="M9" t="s">
        <v>31</v>
      </c>
    </row>
    <row r="10" spans="1:13" x14ac:dyDescent="0.3">
      <c r="K10">
        <v>8</v>
      </c>
      <c r="L10">
        <v>15</v>
      </c>
      <c r="M10" t="s">
        <v>32</v>
      </c>
    </row>
    <row r="11" spans="1:13" x14ac:dyDescent="0.3">
      <c r="K11">
        <v>9</v>
      </c>
      <c r="L11">
        <v>17</v>
      </c>
      <c r="M11" t="s">
        <v>33</v>
      </c>
    </row>
    <row r="12" spans="1:13" x14ac:dyDescent="0.3">
      <c r="K12">
        <v>10</v>
      </c>
      <c r="L12">
        <v>19</v>
      </c>
      <c r="M12" t="s">
        <v>34</v>
      </c>
    </row>
    <row r="13" spans="1:13" x14ac:dyDescent="0.3">
      <c r="K13">
        <v>11</v>
      </c>
      <c r="L13">
        <v>21</v>
      </c>
      <c r="M13" t="s">
        <v>35</v>
      </c>
    </row>
    <row r="14" spans="1:13" x14ac:dyDescent="0.3">
      <c r="K14">
        <v>12</v>
      </c>
      <c r="L14">
        <v>23</v>
      </c>
      <c r="M14" t="s">
        <v>36</v>
      </c>
    </row>
    <row r="15" spans="1:13" x14ac:dyDescent="0.3">
      <c r="K15">
        <v>13</v>
      </c>
      <c r="L15">
        <v>25</v>
      </c>
      <c r="M15" t="s">
        <v>37</v>
      </c>
    </row>
    <row r="16" spans="1:13" x14ac:dyDescent="0.3">
      <c r="K16">
        <v>14</v>
      </c>
      <c r="L16">
        <v>27</v>
      </c>
      <c r="M16" t="s">
        <v>38</v>
      </c>
    </row>
    <row r="17" spans="11:13" x14ac:dyDescent="0.3">
      <c r="K17">
        <v>15</v>
      </c>
      <c r="L17">
        <v>29</v>
      </c>
      <c r="M17" t="s">
        <v>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CACC-2D25-4EDF-8BFB-5CDF4EE08889}">
  <dimension ref="A1:S16"/>
  <sheetViews>
    <sheetView workbookViewId="0">
      <selection activeCell="S11" sqref="S11"/>
    </sheetView>
  </sheetViews>
  <sheetFormatPr defaultRowHeight="14.4" x14ac:dyDescent="0.3"/>
  <cols>
    <col min="1" max="1" width="12.88671875" customWidth="1"/>
  </cols>
  <sheetData>
    <row r="1" spans="1:19" x14ac:dyDescent="0.3">
      <c r="A1" t="s">
        <v>9</v>
      </c>
      <c r="C1" t="str">
        <f>LEFT(A1,FIND("-",A1,1)-1)</f>
        <v>Sazzad</v>
      </c>
      <c r="D1" t="str">
        <f>RIGHT(A1,LEN(A1)-FIND("-",A1,1))</f>
        <v>2345</v>
      </c>
      <c r="F1" t="s">
        <v>11</v>
      </c>
      <c r="G1" t="s">
        <v>12</v>
      </c>
      <c r="H1" t="s">
        <v>13</v>
      </c>
      <c r="J1" t="s">
        <v>14</v>
      </c>
      <c r="M1" t="s">
        <v>16</v>
      </c>
      <c r="N1">
        <v>305</v>
      </c>
      <c r="P1" t="str">
        <f>IF(AND(M1="Sunday",N1&gt;100),"yes","NO")</f>
        <v>yes</v>
      </c>
      <c r="Q1" t="str">
        <f>IF(OR(M1="Sunday",N1&gt;100),"yes","NO")</f>
        <v>yes</v>
      </c>
      <c r="S1" t="e" cm="1">
        <f t="array" aca="1" ref="S1" ca="1">TAKE(M1:N16,5)</f>
        <v>#NAME?</v>
      </c>
    </row>
    <row r="2" spans="1:19" x14ac:dyDescent="0.3">
      <c r="A2" t="s">
        <v>10</v>
      </c>
      <c r="C2" t="str">
        <f>LEFT(A2,FIND("-",A2,1)-1)</f>
        <v>Djdjg</v>
      </c>
      <c r="D2" t="str">
        <f>RIGHT(A2,LEN(A2)-FIND("-",A2,1))</f>
        <v>3456</v>
      </c>
      <c r="F2">
        <v>1</v>
      </c>
      <c r="G2">
        <v>5</v>
      </c>
      <c r="H2">
        <v>67</v>
      </c>
      <c r="J2">
        <f>IF(F2&lt;=1,F2*5,F2*2)</f>
        <v>5</v>
      </c>
      <c r="M2" t="s">
        <v>15</v>
      </c>
      <c r="N2">
        <v>288</v>
      </c>
      <c r="P2" t="str">
        <f t="shared" ref="P2:P16" si="0">IF(AND(M2="Sunday",N2&gt;100),"yes","NO")</f>
        <v>NO</v>
      </c>
      <c r="Q2" t="str">
        <f t="shared" ref="Q2:Q16" si="1">IF(OR(M2="Sunday",N2&gt;100),"yes","NO")</f>
        <v>yes</v>
      </c>
    </row>
    <row r="3" spans="1:19" x14ac:dyDescent="0.3">
      <c r="F3">
        <v>2</v>
      </c>
      <c r="G3">
        <v>10</v>
      </c>
      <c r="H3">
        <v>98</v>
      </c>
      <c r="J3">
        <f t="shared" ref="J3:J9" si="2">IF(F3&lt;=1,F3*5,F3*2)</f>
        <v>4</v>
      </c>
      <c r="M3" t="s">
        <v>21</v>
      </c>
      <c r="N3">
        <v>271</v>
      </c>
      <c r="P3" t="str">
        <f t="shared" si="0"/>
        <v>NO</v>
      </c>
      <c r="Q3" t="str">
        <f t="shared" si="1"/>
        <v>yes</v>
      </c>
    </row>
    <row r="4" spans="1:19" x14ac:dyDescent="0.3">
      <c r="F4">
        <v>3</v>
      </c>
      <c r="G4">
        <v>15</v>
      </c>
      <c r="H4">
        <v>129</v>
      </c>
      <c r="J4">
        <f t="shared" si="2"/>
        <v>6</v>
      </c>
      <c r="M4" t="s">
        <v>20</v>
      </c>
      <c r="N4">
        <v>254</v>
      </c>
      <c r="P4" t="str">
        <f t="shared" si="0"/>
        <v>NO</v>
      </c>
      <c r="Q4" t="str">
        <f t="shared" si="1"/>
        <v>yes</v>
      </c>
    </row>
    <row r="5" spans="1:19" x14ac:dyDescent="0.3">
      <c r="F5">
        <v>4</v>
      </c>
      <c r="G5">
        <v>20</v>
      </c>
      <c r="H5">
        <v>160</v>
      </c>
      <c r="J5">
        <f t="shared" si="2"/>
        <v>8</v>
      </c>
      <c r="M5" t="s">
        <v>19</v>
      </c>
      <c r="N5">
        <v>237</v>
      </c>
      <c r="P5" t="str">
        <f t="shared" si="0"/>
        <v>NO</v>
      </c>
      <c r="Q5" t="str">
        <f t="shared" si="1"/>
        <v>yes</v>
      </c>
    </row>
    <row r="6" spans="1:19" x14ac:dyDescent="0.3">
      <c r="F6">
        <v>5</v>
      </c>
      <c r="G6">
        <v>25</v>
      </c>
      <c r="H6">
        <v>191</v>
      </c>
      <c r="J6">
        <f t="shared" si="2"/>
        <v>10</v>
      </c>
      <c r="M6" t="s">
        <v>18</v>
      </c>
      <c r="N6">
        <v>220</v>
      </c>
      <c r="P6" t="str">
        <f t="shared" si="0"/>
        <v>NO</v>
      </c>
      <c r="Q6" t="str">
        <f t="shared" si="1"/>
        <v>yes</v>
      </c>
    </row>
    <row r="7" spans="1:19" x14ac:dyDescent="0.3">
      <c r="F7">
        <v>6</v>
      </c>
      <c r="G7">
        <v>30</v>
      </c>
      <c r="H7">
        <v>222</v>
      </c>
      <c r="J7">
        <f t="shared" si="2"/>
        <v>12</v>
      </c>
      <c r="M7" t="s">
        <v>17</v>
      </c>
      <c r="N7">
        <v>203</v>
      </c>
      <c r="P7" t="str">
        <f t="shared" si="0"/>
        <v>NO</v>
      </c>
      <c r="Q7" t="str">
        <f t="shared" si="1"/>
        <v>yes</v>
      </c>
    </row>
    <row r="8" spans="1:19" x14ac:dyDescent="0.3">
      <c r="F8">
        <v>7</v>
      </c>
      <c r="G8">
        <v>35</v>
      </c>
      <c r="H8">
        <v>253</v>
      </c>
      <c r="J8">
        <f t="shared" si="2"/>
        <v>14</v>
      </c>
      <c r="M8" t="s">
        <v>16</v>
      </c>
      <c r="N8">
        <v>186</v>
      </c>
      <c r="P8" t="str">
        <f t="shared" si="0"/>
        <v>yes</v>
      </c>
      <c r="Q8" t="str">
        <f t="shared" si="1"/>
        <v>yes</v>
      </c>
    </row>
    <row r="9" spans="1:19" x14ac:dyDescent="0.3">
      <c r="F9">
        <v>8</v>
      </c>
      <c r="G9">
        <v>40</v>
      </c>
      <c r="H9">
        <v>284</v>
      </c>
      <c r="J9">
        <f t="shared" si="2"/>
        <v>16</v>
      </c>
      <c r="M9" t="s">
        <v>15</v>
      </c>
      <c r="N9">
        <v>169</v>
      </c>
      <c r="P9" t="str">
        <f t="shared" si="0"/>
        <v>NO</v>
      </c>
      <c r="Q9" t="str">
        <f t="shared" si="1"/>
        <v>yes</v>
      </c>
    </row>
    <row r="10" spans="1:19" x14ac:dyDescent="0.3">
      <c r="M10" t="s">
        <v>21</v>
      </c>
      <c r="N10">
        <v>152</v>
      </c>
      <c r="P10" t="str">
        <f t="shared" si="0"/>
        <v>NO</v>
      </c>
      <c r="Q10" t="str">
        <f t="shared" si="1"/>
        <v>yes</v>
      </c>
    </row>
    <row r="11" spans="1:19" x14ac:dyDescent="0.3">
      <c r="M11" t="s">
        <v>20</v>
      </c>
      <c r="N11">
        <v>135</v>
      </c>
      <c r="P11" t="str">
        <f t="shared" si="0"/>
        <v>NO</v>
      </c>
      <c r="Q11" t="str">
        <f t="shared" si="1"/>
        <v>yes</v>
      </c>
    </row>
    <row r="12" spans="1:19" x14ac:dyDescent="0.3">
      <c r="M12" t="s">
        <v>19</v>
      </c>
      <c r="N12">
        <v>118</v>
      </c>
      <c r="P12" t="str">
        <f t="shared" si="0"/>
        <v>NO</v>
      </c>
      <c r="Q12" t="str">
        <f t="shared" si="1"/>
        <v>yes</v>
      </c>
    </row>
    <row r="13" spans="1:19" x14ac:dyDescent="0.3">
      <c r="M13" t="s">
        <v>18</v>
      </c>
      <c r="N13">
        <v>101</v>
      </c>
      <c r="P13" t="str">
        <f t="shared" si="0"/>
        <v>NO</v>
      </c>
      <c r="Q13" t="str">
        <f t="shared" si="1"/>
        <v>yes</v>
      </c>
    </row>
    <row r="14" spans="1:19" x14ac:dyDescent="0.3">
      <c r="M14" t="s">
        <v>17</v>
      </c>
      <c r="N14">
        <v>84</v>
      </c>
      <c r="P14" t="str">
        <f t="shared" si="0"/>
        <v>NO</v>
      </c>
      <c r="Q14" t="str">
        <f t="shared" si="1"/>
        <v>NO</v>
      </c>
    </row>
    <row r="15" spans="1:19" x14ac:dyDescent="0.3">
      <c r="M15" t="s">
        <v>16</v>
      </c>
      <c r="N15">
        <v>67</v>
      </c>
      <c r="P15" t="str">
        <f t="shared" si="0"/>
        <v>NO</v>
      </c>
      <c r="Q15" t="str">
        <f t="shared" si="1"/>
        <v>yes</v>
      </c>
    </row>
    <row r="16" spans="1:19" x14ac:dyDescent="0.3">
      <c r="M16" t="s">
        <v>15</v>
      </c>
      <c r="N16">
        <v>50</v>
      </c>
      <c r="P16" t="str">
        <f t="shared" si="0"/>
        <v>NO</v>
      </c>
      <c r="Q16" t="str">
        <f t="shared" si="1"/>
        <v>NO</v>
      </c>
    </row>
  </sheetData>
  <sortState xmlns:xlrd2="http://schemas.microsoft.com/office/spreadsheetml/2017/richdata2" ref="M1:N16">
    <sortCondition descending="1" ref="N1:N1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D257-B75F-4375-AAE5-DFCAE78F3724}">
  <dimension ref="A1:R14"/>
  <sheetViews>
    <sheetView workbookViewId="0">
      <selection activeCell="N1" sqref="N1"/>
    </sheetView>
  </sheetViews>
  <sheetFormatPr defaultRowHeight="14.4" x14ac:dyDescent="0.3"/>
  <cols>
    <col min="7" max="7" width="11.44140625" customWidth="1"/>
    <col min="8" max="8" width="13.44140625" customWidth="1"/>
    <col min="17" max="17" width="12.77734375" customWidth="1"/>
  </cols>
  <sheetData>
    <row r="1" spans="1:18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/>
      <c r="G1" s="3" t="s">
        <v>40</v>
      </c>
      <c r="H1" t="s">
        <v>66</v>
      </c>
      <c r="N1" t="s">
        <v>85</v>
      </c>
      <c r="O1" t="s">
        <v>84</v>
      </c>
      <c r="Q1" t="s">
        <v>86</v>
      </c>
    </row>
    <row r="2" spans="1:18" x14ac:dyDescent="0.3">
      <c r="A2" t="s">
        <v>45</v>
      </c>
      <c r="B2" t="s">
        <v>46</v>
      </c>
      <c r="C2" t="s">
        <v>47</v>
      </c>
      <c r="D2">
        <v>41954</v>
      </c>
      <c r="E2" t="s">
        <v>48</v>
      </c>
      <c r="G2" s="4" t="s">
        <v>41</v>
      </c>
      <c r="H2" t="str">
        <f>VLOOKUP($H$1,$A$1:$E$13,ROW()-0,0)</f>
        <v>Employee_7</v>
      </c>
      <c r="N2">
        <v>456</v>
      </c>
      <c r="O2" t="str" cm="1">
        <f t="array" ref="O2">_xlfn.IFS(N2&lt;=5000,"A",N2&lt;=4000,"B",N2&lt;=40000,"C",N2&lt;=3456976,"D")</f>
        <v>A</v>
      </c>
      <c r="Q2" s="4" t="s">
        <v>40</v>
      </c>
      <c r="R2" t="s">
        <v>53</v>
      </c>
    </row>
    <row r="3" spans="1:18" x14ac:dyDescent="0.3">
      <c r="A3" t="s">
        <v>49</v>
      </c>
      <c r="B3" t="s">
        <v>50</v>
      </c>
      <c r="C3" t="s">
        <v>51</v>
      </c>
      <c r="D3">
        <v>49855</v>
      </c>
      <c r="E3" t="s">
        <v>52</v>
      </c>
      <c r="G3" s="4" t="s">
        <v>42</v>
      </c>
      <c r="H3" t="str">
        <f t="shared" ref="H3:H5" si="0">VLOOKUP($H$1,$A$1:$E$13,ROW()-0,0)</f>
        <v>Sales</v>
      </c>
      <c r="N3">
        <v>4588</v>
      </c>
      <c r="O3" t="str" cm="1">
        <f t="array" ref="O3">_xlfn.IFS(N3&lt;=5000,"A",N3&lt;=4000,"B",N3&lt;=40000,"C",N3&lt;=3456976,"D")</f>
        <v>A</v>
      </c>
      <c r="Q3" s="4" t="s">
        <v>42</v>
      </c>
      <c r="R3" t="str">
        <f>VLOOKUP($R$2,$A$1:$E$13,MATCH($Q$3,$A$1:$E$1,0),0)</f>
        <v>Sales</v>
      </c>
    </row>
    <row r="4" spans="1:18" x14ac:dyDescent="0.3">
      <c r="A4" t="s">
        <v>53</v>
      </c>
      <c r="B4" t="s">
        <v>54</v>
      </c>
      <c r="C4" t="s">
        <v>55</v>
      </c>
      <c r="D4">
        <v>94210</v>
      </c>
      <c r="E4" t="s">
        <v>56</v>
      </c>
      <c r="G4" s="4" t="s">
        <v>43</v>
      </c>
      <c r="H4">
        <f t="shared" si="0"/>
        <v>85206</v>
      </c>
      <c r="N4">
        <v>45644</v>
      </c>
      <c r="O4" t="str" cm="1">
        <f t="array" ref="O4">_xlfn.IFS(N4&lt;=5000,"A",N4&lt;=4000,"B",N4&lt;=40000,"C",N4&lt;=3456976,"D")</f>
        <v>D</v>
      </c>
      <c r="Q4" s="4"/>
    </row>
    <row r="5" spans="1:18" x14ac:dyDescent="0.3">
      <c r="A5" t="s">
        <v>57</v>
      </c>
      <c r="B5" t="s">
        <v>58</v>
      </c>
      <c r="C5" t="s">
        <v>47</v>
      </c>
      <c r="D5">
        <v>74689</v>
      </c>
      <c r="E5" t="s">
        <v>59</v>
      </c>
      <c r="G5" s="4" t="s">
        <v>44</v>
      </c>
      <c r="H5" t="str">
        <f t="shared" si="0"/>
        <v>07-01-2020</v>
      </c>
      <c r="N5">
        <v>355336</v>
      </c>
      <c r="O5" t="str" cm="1">
        <f t="array" ref="O5">_xlfn.IFS(N5&lt;=5000,"A",N5&lt;=4000,"B",N5&lt;=40000,"C",N5&lt;=3456976,"D")</f>
        <v>D</v>
      </c>
      <c r="Q5" s="4"/>
    </row>
    <row r="6" spans="1:18" x14ac:dyDescent="0.3">
      <c r="A6" t="s">
        <v>60</v>
      </c>
      <c r="B6" t="s">
        <v>61</v>
      </c>
      <c r="C6" t="s">
        <v>51</v>
      </c>
      <c r="D6">
        <v>90652</v>
      </c>
      <c r="E6" t="s">
        <v>62</v>
      </c>
      <c r="Q6" s="4"/>
    </row>
    <row r="7" spans="1:18" x14ac:dyDescent="0.3">
      <c r="A7" t="s">
        <v>63</v>
      </c>
      <c r="B7" t="s">
        <v>64</v>
      </c>
      <c r="C7" t="s">
        <v>51</v>
      </c>
      <c r="D7">
        <v>74820</v>
      </c>
      <c r="E7" t="s">
        <v>65</v>
      </c>
    </row>
    <row r="8" spans="1:18" x14ac:dyDescent="0.3">
      <c r="A8" t="s">
        <v>66</v>
      </c>
      <c r="B8" t="s">
        <v>67</v>
      </c>
      <c r="C8" t="s">
        <v>55</v>
      </c>
      <c r="D8">
        <v>85206</v>
      </c>
      <c r="E8" t="s">
        <v>68</v>
      </c>
      <c r="P8">
        <f>MATCH(Q3,B1:E1,0)</f>
        <v>2</v>
      </c>
    </row>
    <row r="9" spans="1:18" x14ac:dyDescent="0.3">
      <c r="A9" t="s">
        <v>69</v>
      </c>
      <c r="B9" t="s">
        <v>70</v>
      </c>
      <c r="C9" t="s">
        <v>47</v>
      </c>
      <c r="D9">
        <v>30924</v>
      </c>
      <c r="E9" t="s">
        <v>71</v>
      </c>
    </row>
    <row r="10" spans="1:18" x14ac:dyDescent="0.3">
      <c r="A10" t="s">
        <v>72</v>
      </c>
      <c r="B10" t="s">
        <v>73</v>
      </c>
      <c r="C10" t="s">
        <v>51</v>
      </c>
      <c r="D10">
        <v>57737</v>
      </c>
      <c r="E10" t="s">
        <v>74</v>
      </c>
    </row>
    <row r="11" spans="1:18" x14ac:dyDescent="0.3">
      <c r="A11" t="s">
        <v>75</v>
      </c>
      <c r="B11" t="s">
        <v>76</v>
      </c>
      <c r="C11" t="s">
        <v>55</v>
      </c>
      <c r="D11">
        <v>36000</v>
      </c>
      <c r="E11" t="s">
        <v>77</v>
      </c>
    </row>
    <row r="12" spans="1:18" x14ac:dyDescent="0.3">
      <c r="A12" t="s">
        <v>78</v>
      </c>
      <c r="B12" t="s">
        <v>79</v>
      </c>
      <c r="C12" t="s">
        <v>55</v>
      </c>
      <c r="D12">
        <v>96371</v>
      </c>
      <c r="E12" t="s">
        <v>80</v>
      </c>
    </row>
    <row r="13" spans="1:18" x14ac:dyDescent="0.3">
      <c r="A13" t="s">
        <v>81</v>
      </c>
      <c r="B13" t="s">
        <v>82</v>
      </c>
      <c r="C13" t="s">
        <v>51</v>
      </c>
      <c r="D13">
        <v>85028</v>
      </c>
      <c r="E13" t="s">
        <v>83</v>
      </c>
    </row>
    <row r="14" spans="1:18" x14ac:dyDescent="0.3">
      <c r="A14" s="5"/>
      <c r="B14" s="5"/>
      <c r="C14" s="5"/>
      <c r="D14" s="5"/>
      <c r="E14" s="5"/>
    </row>
  </sheetData>
  <sortState xmlns:xlrd2="http://schemas.microsoft.com/office/spreadsheetml/2017/richdata2" ref="N2:O5">
    <sortCondition ref="N1:N5"/>
  </sortState>
  <dataValidations count="2">
    <dataValidation type="list" allowBlank="1" showInputMessage="1" showErrorMessage="1" sqref="R2" xr:uid="{B337E0D5-C936-4F96-83F6-EBE31B20A5FA}">
      <formula1>$A$2:$A$13</formula1>
    </dataValidation>
    <dataValidation type="list" allowBlank="1" showInputMessage="1" showErrorMessage="1" sqref="Q3" xr:uid="{DDE071E1-4E83-4E87-B111-6DD08149C506}">
      <formula1>$B$1:$E$1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9616-2213-4758-8F82-CA1D2CCE5C4C}">
  <dimension ref="A1:AG25"/>
  <sheetViews>
    <sheetView workbookViewId="0">
      <selection sqref="A1:I11"/>
    </sheetView>
  </sheetViews>
  <sheetFormatPr defaultRowHeight="14.4" x14ac:dyDescent="0.3"/>
  <cols>
    <col min="1" max="1" width="10.33203125" bestFit="1" customWidth="1"/>
    <col min="3" max="3" width="11.21875" bestFit="1" customWidth="1"/>
    <col min="4" max="4" width="11" bestFit="1" customWidth="1"/>
    <col min="5" max="5" width="15.77734375" bestFit="1" customWidth="1"/>
    <col min="6" max="6" width="13.21875" bestFit="1" customWidth="1"/>
    <col min="8" max="8" width="17.6640625" bestFit="1" customWidth="1"/>
    <col min="9" max="9" width="17.88671875" bestFit="1" customWidth="1"/>
    <col min="12" max="12" width="11.21875" bestFit="1" customWidth="1"/>
    <col min="23" max="23" width="19.109375" customWidth="1"/>
  </cols>
  <sheetData>
    <row r="1" spans="1:33" x14ac:dyDescent="0.3">
      <c r="A1" s="4" t="s">
        <v>87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  <c r="L1" s="4" t="s">
        <v>116</v>
      </c>
      <c r="M1">
        <f>COUNTIF($C$1:$C$11,L2)</f>
        <v>1</v>
      </c>
      <c r="N1" t="s">
        <v>149</v>
      </c>
      <c r="P1" s="4" t="s">
        <v>91</v>
      </c>
      <c r="S1" t="s">
        <v>152</v>
      </c>
      <c r="T1" s="4"/>
      <c r="W1" s="4" t="s">
        <v>153</v>
      </c>
    </row>
    <row r="2" spans="1:33" x14ac:dyDescent="0.3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>
        <v>5</v>
      </c>
      <c r="H2">
        <v>8000</v>
      </c>
      <c r="I2">
        <v>40000</v>
      </c>
      <c r="L2" t="s">
        <v>98</v>
      </c>
      <c r="N2">
        <f>M1</f>
        <v>1</v>
      </c>
      <c r="P2" t="s">
        <v>100</v>
      </c>
      <c r="S2" s="4" t="s">
        <v>90</v>
      </c>
      <c r="T2" s="4"/>
      <c r="W2" s="4" t="s">
        <v>154</v>
      </c>
      <c r="X2" s="3" t="s">
        <v>98</v>
      </c>
      <c r="Y2" s="3" t="s">
        <v>104</v>
      </c>
      <c r="Z2" s="3" t="s">
        <v>110</v>
      </c>
      <c r="AA2" s="3" t="s">
        <v>116</v>
      </c>
      <c r="AB2" s="3" t="s">
        <v>122</v>
      </c>
      <c r="AC2" s="3" t="s">
        <v>128</v>
      </c>
      <c r="AD2" s="3" t="s">
        <v>133</v>
      </c>
      <c r="AE2" s="3" t="s">
        <v>138</v>
      </c>
      <c r="AF2" s="3" t="s">
        <v>143</v>
      </c>
      <c r="AG2" s="3" t="s">
        <v>147</v>
      </c>
    </row>
    <row r="3" spans="1:33" x14ac:dyDescent="0.3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>
        <v>20</v>
      </c>
      <c r="H3">
        <v>50</v>
      </c>
      <c r="I3">
        <v>1000</v>
      </c>
      <c r="L3" t="s">
        <v>104</v>
      </c>
      <c r="N3">
        <f t="shared" ref="N3:N11" si="0">COUNTIF(C2:C12,L3)</f>
        <v>1</v>
      </c>
      <c r="P3" t="s">
        <v>106</v>
      </c>
      <c r="S3" t="s">
        <v>99</v>
      </c>
      <c r="T3" s="4">
        <f>SUMIF(D:D,S3,G:G)</f>
        <v>7</v>
      </c>
      <c r="W3" t="s">
        <v>101</v>
      </c>
      <c r="X3">
        <f>SUMIFS($G:$G,$F:$F,$W3,$C:$C,X$2)</f>
        <v>5</v>
      </c>
      <c r="Y3">
        <f t="shared" ref="Y3:AG12" si="1">SUMIFS($G:$G,$F:$F,$W3,$C:$C,Y$2)</f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</row>
    <row r="4" spans="1:33" x14ac:dyDescent="0.3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113</v>
      </c>
      <c r="G4">
        <v>10</v>
      </c>
      <c r="H4">
        <v>1200</v>
      </c>
      <c r="I4">
        <v>12000</v>
      </c>
      <c r="L4" t="s">
        <v>110</v>
      </c>
      <c r="N4">
        <f t="shared" si="0"/>
        <v>1</v>
      </c>
      <c r="P4" t="s">
        <v>112</v>
      </c>
      <c r="S4" t="s">
        <v>105</v>
      </c>
      <c r="T4" s="4">
        <f t="shared" ref="T4:T10" si="2">SUMIF(D:D,S4,G:G)</f>
        <v>26</v>
      </c>
      <c r="W4" t="s">
        <v>107</v>
      </c>
      <c r="X4">
        <f t="shared" ref="X4:X12" si="3">SUMIFS($G:$G,$F:$F,$W4,$C:$C,X$2)</f>
        <v>0</v>
      </c>
      <c r="Y4">
        <f t="shared" si="1"/>
        <v>20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</row>
    <row r="5" spans="1:33" x14ac:dyDescent="0.3">
      <c r="A5" t="s">
        <v>114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>
        <v>3</v>
      </c>
      <c r="H5">
        <v>3500</v>
      </c>
      <c r="I5">
        <v>10500</v>
      </c>
      <c r="L5" t="s">
        <v>116</v>
      </c>
      <c r="N5">
        <f t="shared" si="0"/>
        <v>1</v>
      </c>
      <c r="P5" t="s">
        <v>118</v>
      </c>
      <c r="S5" t="s">
        <v>111</v>
      </c>
      <c r="T5" s="4">
        <f t="shared" si="2"/>
        <v>10</v>
      </c>
      <c r="W5" t="s">
        <v>113</v>
      </c>
      <c r="X5">
        <f t="shared" si="3"/>
        <v>0</v>
      </c>
      <c r="Y5">
        <f t="shared" si="1"/>
        <v>0</v>
      </c>
      <c r="Z5">
        <f t="shared" si="1"/>
        <v>10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</v>
      </c>
      <c r="AE5">
        <f t="shared" si="1"/>
        <v>0</v>
      </c>
      <c r="AF5">
        <f t="shared" si="1"/>
        <v>0</v>
      </c>
      <c r="AG5">
        <f t="shared" si="1"/>
        <v>0</v>
      </c>
    </row>
    <row r="6" spans="1:33" x14ac:dyDescent="0.3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>
        <v>7</v>
      </c>
      <c r="H6">
        <v>1500</v>
      </c>
      <c r="I6">
        <v>10500</v>
      </c>
      <c r="L6" t="s">
        <v>122</v>
      </c>
      <c r="N6">
        <f t="shared" si="0"/>
        <v>1</v>
      </c>
      <c r="P6" t="s">
        <v>124</v>
      </c>
      <c r="S6" t="s">
        <v>117</v>
      </c>
      <c r="T6" s="4">
        <f t="shared" si="2"/>
        <v>3</v>
      </c>
      <c r="W6" t="s">
        <v>119</v>
      </c>
      <c r="X6">
        <f t="shared" si="3"/>
        <v>0</v>
      </c>
      <c r="Y6">
        <f t="shared" si="1"/>
        <v>0</v>
      </c>
      <c r="Z6">
        <f t="shared" si="1"/>
        <v>0</v>
      </c>
      <c r="AA6">
        <f t="shared" si="1"/>
        <v>3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1"/>
        <v>0</v>
      </c>
    </row>
    <row r="7" spans="1:33" x14ac:dyDescent="0.3">
      <c r="A7" t="s">
        <v>126</v>
      </c>
      <c r="B7" t="s">
        <v>127</v>
      </c>
      <c r="C7" t="s">
        <v>128</v>
      </c>
      <c r="D7" t="s">
        <v>129</v>
      </c>
      <c r="E7" t="s">
        <v>100</v>
      </c>
      <c r="F7" t="s">
        <v>130</v>
      </c>
      <c r="G7">
        <v>12</v>
      </c>
      <c r="H7">
        <v>2500</v>
      </c>
      <c r="I7">
        <v>30000</v>
      </c>
      <c r="L7" t="s">
        <v>128</v>
      </c>
      <c r="N7">
        <f t="shared" si="0"/>
        <v>1</v>
      </c>
      <c r="S7" t="s">
        <v>123</v>
      </c>
      <c r="T7" s="4">
        <f t="shared" si="2"/>
        <v>7</v>
      </c>
      <c r="W7" t="s">
        <v>125</v>
      </c>
      <c r="X7">
        <f t="shared" si="3"/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7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</row>
    <row r="8" spans="1:33" x14ac:dyDescent="0.3">
      <c r="A8" t="s">
        <v>131</v>
      </c>
      <c r="B8" t="s">
        <v>132</v>
      </c>
      <c r="C8" t="s">
        <v>133</v>
      </c>
      <c r="D8" t="s">
        <v>134</v>
      </c>
      <c r="E8" t="s">
        <v>106</v>
      </c>
      <c r="F8" t="s">
        <v>135</v>
      </c>
      <c r="G8">
        <v>15</v>
      </c>
      <c r="H8">
        <v>300</v>
      </c>
      <c r="I8">
        <v>4500</v>
      </c>
      <c r="L8" t="s">
        <v>133</v>
      </c>
      <c r="N8">
        <f t="shared" si="0"/>
        <v>1</v>
      </c>
      <c r="S8" t="s">
        <v>129</v>
      </c>
      <c r="T8" s="4">
        <f t="shared" si="2"/>
        <v>12</v>
      </c>
      <c r="W8" t="s">
        <v>130</v>
      </c>
      <c r="X8">
        <f t="shared" si="3"/>
        <v>0</v>
      </c>
      <c r="Y8">
        <f t="shared" si="1"/>
        <v>0</v>
      </c>
      <c r="Z8">
        <f t="shared" si="1"/>
        <v>0</v>
      </c>
      <c r="AA8">
        <f t="shared" si="1"/>
        <v>0</v>
      </c>
      <c r="AB8">
        <f t="shared" si="1"/>
        <v>0</v>
      </c>
      <c r="AC8">
        <f t="shared" si="1"/>
        <v>12</v>
      </c>
      <c r="AD8">
        <f t="shared" si="1"/>
        <v>0</v>
      </c>
      <c r="AE8">
        <f t="shared" si="1"/>
        <v>0</v>
      </c>
      <c r="AF8">
        <f t="shared" si="1"/>
        <v>0</v>
      </c>
      <c r="AG8">
        <f t="shared" si="1"/>
        <v>0</v>
      </c>
    </row>
    <row r="9" spans="1:33" x14ac:dyDescent="0.3">
      <c r="A9" t="s">
        <v>136</v>
      </c>
      <c r="B9" t="s">
        <v>137</v>
      </c>
      <c r="C9" t="s">
        <v>138</v>
      </c>
      <c r="D9" t="s">
        <v>139</v>
      </c>
      <c r="E9" t="s">
        <v>112</v>
      </c>
      <c r="F9" t="s">
        <v>140</v>
      </c>
      <c r="G9">
        <v>8</v>
      </c>
      <c r="H9">
        <v>2000</v>
      </c>
      <c r="I9">
        <v>16000</v>
      </c>
      <c r="L9" t="s">
        <v>138</v>
      </c>
      <c r="N9">
        <f t="shared" si="0"/>
        <v>1</v>
      </c>
      <c r="S9" t="s">
        <v>134</v>
      </c>
      <c r="T9" s="4">
        <f t="shared" si="2"/>
        <v>15</v>
      </c>
      <c r="W9" t="s">
        <v>135</v>
      </c>
      <c r="X9">
        <f t="shared" si="3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  <c r="AC9">
        <f t="shared" si="1"/>
        <v>0</v>
      </c>
      <c r="AD9">
        <f t="shared" si="1"/>
        <v>15</v>
      </c>
      <c r="AE9">
        <f t="shared" si="1"/>
        <v>0</v>
      </c>
      <c r="AF9">
        <f t="shared" si="1"/>
        <v>0</v>
      </c>
      <c r="AG9">
        <f t="shared" si="1"/>
        <v>0</v>
      </c>
    </row>
    <row r="10" spans="1:33" x14ac:dyDescent="0.3">
      <c r="A10" t="s">
        <v>141</v>
      </c>
      <c r="B10" t="s">
        <v>142</v>
      </c>
      <c r="C10" t="s">
        <v>143</v>
      </c>
      <c r="D10" t="s">
        <v>105</v>
      </c>
      <c r="E10" t="s">
        <v>118</v>
      </c>
      <c r="F10" t="s">
        <v>144</v>
      </c>
      <c r="G10">
        <v>6</v>
      </c>
      <c r="H10">
        <v>900</v>
      </c>
      <c r="I10">
        <v>5400</v>
      </c>
      <c r="L10" t="s">
        <v>143</v>
      </c>
      <c r="N10">
        <f t="shared" si="0"/>
        <v>1</v>
      </c>
      <c r="S10" t="s">
        <v>139</v>
      </c>
      <c r="T10" s="4">
        <f t="shared" si="2"/>
        <v>8</v>
      </c>
      <c r="W10" t="s">
        <v>140</v>
      </c>
      <c r="X10">
        <f t="shared" si="3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0</v>
      </c>
      <c r="AE10">
        <f t="shared" si="1"/>
        <v>8</v>
      </c>
      <c r="AF10">
        <f t="shared" si="1"/>
        <v>0</v>
      </c>
      <c r="AG10">
        <f t="shared" si="1"/>
        <v>0</v>
      </c>
    </row>
    <row r="11" spans="1:33" x14ac:dyDescent="0.3">
      <c r="A11" t="s">
        <v>145</v>
      </c>
      <c r="B11" t="s">
        <v>146</v>
      </c>
      <c r="C11" t="s">
        <v>147</v>
      </c>
      <c r="D11" t="s">
        <v>99</v>
      </c>
      <c r="E11" t="s">
        <v>124</v>
      </c>
      <c r="F11" t="s">
        <v>148</v>
      </c>
      <c r="G11">
        <v>2</v>
      </c>
      <c r="H11">
        <v>65000</v>
      </c>
      <c r="I11">
        <v>130000</v>
      </c>
      <c r="L11" t="s">
        <v>147</v>
      </c>
      <c r="N11">
        <f t="shared" si="0"/>
        <v>1</v>
      </c>
      <c r="T11" s="4"/>
      <c r="W11" t="s">
        <v>144</v>
      </c>
      <c r="X11">
        <f t="shared" si="3"/>
        <v>0</v>
      </c>
      <c r="Y11">
        <f t="shared" si="1"/>
        <v>0</v>
      </c>
      <c r="Z11">
        <f t="shared" si="1"/>
        <v>0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1"/>
        <v>0</v>
      </c>
      <c r="AE11">
        <f t="shared" si="1"/>
        <v>0</v>
      </c>
      <c r="AF11">
        <f t="shared" si="1"/>
        <v>6</v>
      </c>
      <c r="AG11">
        <f t="shared" si="1"/>
        <v>0</v>
      </c>
    </row>
    <row r="12" spans="1:33" x14ac:dyDescent="0.3">
      <c r="W12" t="s">
        <v>148</v>
      </c>
      <c r="X12">
        <f t="shared" si="3"/>
        <v>0</v>
      </c>
      <c r="Y12">
        <f t="shared" si="1"/>
        <v>0</v>
      </c>
      <c r="Z12">
        <f t="shared" si="1"/>
        <v>0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1"/>
        <v>2</v>
      </c>
    </row>
    <row r="14" spans="1:33" x14ac:dyDescent="0.3">
      <c r="L14" t="s">
        <v>151</v>
      </c>
    </row>
    <row r="15" spans="1:33" x14ac:dyDescent="0.3">
      <c r="L15" s="4" t="s">
        <v>150</v>
      </c>
      <c r="M15" s="3" t="s">
        <v>100</v>
      </c>
      <c r="N15" s="3" t="s">
        <v>106</v>
      </c>
      <c r="O15" s="3" t="s">
        <v>112</v>
      </c>
      <c r="P15" s="3" t="s">
        <v>118</v>
      </c>
      <c r="Q15" s="3" t="s">
        <v>124</v>
      </c>
    </row>
    <row r="16" spans="1:33" x14ac:dyDescent="0.3">
      <c r="L16" t="s">
        <v>98</v>
      </c>
      <c r="M16">
        <f>COUNTIFS($C:$C,$L16,$E:$E,M$15)</f>
        <v>1</v>
      </c>
      <c r="N16">
        <f t="shared" ref="N16:Q25" si="4">COUNTIFS($C:$C,$L16,$E:$E,N$15)</f>
        <v>0</v>
      </c>
      <c r="O16">
        <f t="shared" si="4"/>
        <v>0</v>
      </c>
      <c r="P16">
        <f t="shared" si="4"/>
        <v>0</v>
      </c>
      <c r="Q16">
        <f t="shared" si="4"/>
        <v>0</v>
      </c>
    </row>
    <row r="17" spans="12:17" x14ac:dyDescent="0.3">
      <c r="L17" t="s">
        <v>104</v>
      </c>
      <c r="M17">
        <f t="shared" ref="M17:M25" si="5">COUNTIFS($C:$C,$L17,$E:$E,M$15)</f>
        <v>0</v>
      </c>
      <c r="N17">
        <f t="shared" si="4"/>
        <v>1</v>
      </c>
      <c r="O17">
        <f t="shared" si="4"/>
        <v>0</v>
      </c>
      <c r="P17">
        <f t="shared" si="4"/>
        <v>0</v>
      </c>
      <c r="Q17">
        <f t="shared" si="4"/>
        <v>0</v>
      </c>
    </row>
    <row r="18" spans="12:17" x14ac:dyDescent="0.3">
      <c r="L18" t="s">
        <v>110</v>
      </c>
      <c r="M18">
        <f t="shared" si="5"/>
        <v>0</v>
      </c>
      <c r="N18">
        <f t="shared" si="4"/>
        <v>0</v>
      </c>
      <c r="O18">
        <f t="shared" si="4"/>
        <v>1</v>
      </c>
      <c r="P18">
        <f t="shared" si="4"/>
        <v>0</v>
      </c>
      <c r="Q18">
        <f t="shared" si="4"/>
        <v>0</v>
      </c>
    </row>
    <row r="19" spans="12:17" x14ac:dyDescent="0.3">
      <c r="L19" t="s">
        <v>116</v>
      </c>
      <c r="M19">
        <f t="shared" si="5"/>
        <v>0</v>
      </c>
      <c r="N19">
        <f t="shared" si="4"/>
        <v>0</v>
      </c>
      <c r="O19">
        <f t="shared" si="4"/>
        <v>0</v>
      </c>
      <c r="P19">
        <f t="shared" si="4"/>
        <v>1</v>
      </c>
      <c r="Q19">
        <f t="shared" si="4"/>
        <v>0</v>
      </c>
    </row>
    <row r="20" spans="12:17" x14ac:dyDescent="0.3">
      <c r="L20" t="s">
        <v>122</v>
      </c>
      <c r="M20">
        <f t="shared" si="5"/>
        <v>0</v>
      </c>
      <c r="N20">
        <f t="shared" si="4"/>
        <v>0</v>
      </c>
      <c r="O20">
        <f t="shared" si="4"/>
        <v>0</v>
      </c>
      <c r="P20">
        <f t="shared" si="4"/>
        <v>0</v>
      </c>
      <c r="Q20">
        <f t="shared" si="4"/>
        <v>1</v>
      </c>
    </row>
    <row r="21" spans="12:17" x14ac:dyDescent="0.3">
      <c r="L21" t="s">
        <v>128</v>
      </c>
      <c r="M21">
        <f t="shared" si="5"/>
        <v>1</v>
      </c>
      <c r="N21">
        <f t="shared" si="4"/>
        <v>0</v>
      </c>
      <c r="O21">
        <f t="shared" si="4"/>
        <v>0</v>
      </c>
      <c r="P21">
        <f t="shared" si="4"/>
        <v>0</v>
      </c>
      <c r="Q21">
        <f t="shared" si="4"/>
        <v>0</v>
      </c>
    </row>
    <row r="22" spans="12:17" x14ac:dyDescent="0.3">
      <c r="L22" t="s">
        <v>133</v>
      </c>
      <c r="M22">
        <f t="shared" si="5"/>
        <v>0</v>
      </c>
      <c r="N22">
        <f t="shared" si="4"/>
        <v>1</v>
      </c>
      <c r="O22">
        <f t="shared" si="4"/>
        <v>0</v>
      </c>
      <c r="P22">
        <f t="shared" si="4"/>
        <v>0</v>
      </c>
      <c r="Q22">
        <f t="shared" si="4"/>
        <v>0</v>
      </c>
    </row>
    <row r="23" spans="12:17" x14ac:dyDescent="0.3">
      <c r="L23" t="s">
        <v>138</v>
      </c>
      <c r="M23">
        <f t="shared" si="5"/>
        <v>0</v>
      </c>
      <c r="N23">
        <f t="shared" si="4"/>
        <v>0</v>
      </c>
      <c r="O23">
        <f t="shared" si="4"/>
        <v>1</v>
      </c>
      <c r="P23">
        <f t="shared" si="4"/>
        <v>0</v>
      </c>
      <c r="Q23">
        <f t="shared" si="4"/>
        <v>0</v>
      </c>
    </row>
    <row r="24" spans="12:17" x14ac:dyDescent="0.3">
      <c r="L24" t="s">
        <v>143</v>
      </c>
      <c r="M24">
        <f t="shared" si="5"/>
        <v>0</v>
      </c>
      <c r="N24">
        <f t="shared" si="4"/>
        <v>0</v>
      </c>
      <c r="O24">
        <f t="shared" si="4"/>
        <v>0</v>
      </c>
      <c r="P24">
        <f t="shared" si="4"/>
        <v>1</v>
      </c>
      <c r="Q24">
        <f t="shared" si="4"/>
        <v>0</v>
      </c>
    </row>
    <row r="25" spans="12:17" x14ac:dyDescent="0.3">
      <c r="L25" t="s">
        <v>147</v>
      </c>
      <c r="M25">
        <f t="shared" si="5"/>
        <v>0</v>
      </c>
      <c r="N25">
        <f t="shared" si="4"/>
        <v>0</v>
      </c>
      <c r="O25">
        <f t="shared" si="4"/>
        <v>0</v>
      </c>
      <c r="P25">
        <f t="shared" si="4"/>
        <v>0</v>
      </c>
      <c r="Q25">
        <f t="shared" si="4"/>
        <v>1</v>
      </c>
    </row>
  </sheetData>
  <dataValidations count="1">
    <dataValidation type="list" allowBlank="1" showInputMessage="1" showErrorMessage="1" sqref="L1:L11" xr:uid="{045F1501-6C8E-4977-B8C0-90AAEF435C3F}">
      <formula1>$L$1:$L$11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A9DB-51FE-4BF8-B6A3-99A012EAB41C}">
  <dimension ref="A1:M26"/>
  <sheetViews>
    <sheetView workbookViewId="0">
      <selection activeCell="M1" sqref="M1"/>
    </sheetView>
  </sheetViews>
  <sheetFormatPr defaultRowHeight="14.4" x14ac:dyDescent="0.3"/>
  <cols>
    <col min="1" max="1" width="10.6640625" bestFit="1" customWidth="1"/>
    <col min="2" max="2" width="10.33203125" bestFit="1" customWidth="1"/>
    <col min="4" max="4" width="12.77734375" bestFit="1" customWidth="1"/>
    <col min="8" max="8" width="13.6640625" bestFit="1" customWidth="1"/>
    <col min="12" max="12" width="9.5546875" bestFit="1" customWidth="1"/>
  </cols>
  <sheetData>
    <row r="1" spans="1:13" x14ac:dyDescent="0.3">
      <c r="A1" s="11" t="s">
        <v>155</v>
      </c>
      <c r="B1" s="6" t="s">
        <v>156</v>
      </c>
      <c r="D1" s="9" t="s">
        <v>166</v>
      </c>
      <c r="E1" s="3" t="s">
        <v>167</v>
      </c>
      <c r="F1" s="3" t="s">
        <v>168</v>
      </c>
      <c r="G1" s="3" t="s">
        <v>169</v>
      </c>
      <c r="H1" s="3" t="s">
        <v>170</v>
      </c>
      <c r="I1" s="10" t="s">
        <v>171</v>
      </c>
      <c r="L1" s="3" t="s">
        <v>172</v>
      </c>
      <c r="M1" s="3" t="s">
        <v>173</v>
      </c>
    </row>
    <row r="2" spans="1:13" x14ac:dyDescent="0.3">
      <c r="A2" s="12">
        <v>46054</v>
      </c>
      <c r="B2" s="1">
        <v>46063</v>
      </c>
      <c r="D2" s="1">
        <f>DATE(YEAR(B2),MONTH(B2),DAY(B2))</f>
        <v>46063</v>
      </c>
      <c r="E2">
        <f>DAY(A2)</f>
        <v>1</v>
      </c>
      <c r="F2">
        <f>MONTH(A2)</f>
        <v>2</v>
      </c>
      <c r="G2">
        <f>YEAR(A2)</f>
        <v>2026</v>
      </c>
      <c r="H2">
        <f>A2-D2</f>
        <v>-9</v>
      </c>
      <c r="I2" s="8" t="str">
        <f ca="1">DATEDIF(A2,TODAY(),"D")&amp;" Day"</f>
        <v>24 Day</v>
      </c>
      <c r="J2" t="str">
        <f>TEXT(A2,"DD-MMMM-YYYY")</f>
        <v>01-February-2026</v>
      </c>
      <c r="L2" s="1">
        <f>EOMONTH(A2,2)</f>
        <v>46142</v>
      </c>
      <c r="M2">
        <f>NETWORKDAYS.INTL(A2,L2,16,0)</f>
        <v>77</v>
      </c>
    </row>
    <row r="3" spans="1:13" x14ac:dyDescent="0.3">
      <c r="A3" s="12">
        <v>46055</v>
      </c>
      <c r="B3" s="1" t="s">
        <v>157</v>
      </c>
      <c r="D3" s="1">
        <f t="shared" ref="D3:D25" si="0">DATE(YEAR(B3),MONTH(B3),DAY(B3))</f>
        <v>46096</v>
      </c>
      <c r="E3" s="7">
        <f t="shared" ref="E3:E25" si="1">DAY(A3)</f>
        <v>2</v>
      </c>
      <c r="F3" s="7">
        <f t="shared" ref="F3:F26" si="2">MONTH(A3)</f>
        <v>2</v>
      </c>
      <c r="G3" s="7">
        <f t="shared" ref="G3:G26" si="3">YEAR(A3)</f>
        <v>2026</v>
      </c>
      <c r="H3" s="7">
        <f t="shared" ref="H3:H25" si="4">A3-D3</f>
        <v>-41</v>
      </c>
      <c r="I3" s="8" t="str">
        <f t="shared" ref="I3:I25" ca="1" si="5">DATEDIF(A3,TODAY(),"D")&amp;" Day"</f>
        <v>23 Day</v>
      </c>
      <c r="J3" s="7" t="str">
        <f t="shared" ref="J3:J25" si="6">TEXT(A3,"DD-MMMM-YYYY")</f>
        <v>02-February-2026</v>
      </c>
      <c r="L3" s="1">
        <f t="shared" ref="L3:L25" si="7">EOMONTH(A3,2)</f>
        <v>46142</v>
      </c>
      <c r="M3" s="7">
        <f t="shared" ref="M3:M25" si="8">NETWORKDAYS.INTL(A3,L3,16,0)</f>
        <v>76</v>
      </c>
    </row>
    <row r="4" spans="1:13" x14ac:dyDescent="0.3">
      <c r="A4" s="12">
        <v>46056</v>
      </c>
      <c r="B4" s="1" t="s">
        <v>158</v>
      </c>
      <c r="D4" s="1">
        <f t="shared" si="0"/>
        <v>46132</v>
      </c>
      <c r="E4" s="7">
        <f t="shared" si="1"/>
        <v>3</v>
      </c>
      <c r="F4" s="7">
        <f t="shared" si="2"/>
        <v>2</v>
      </c>
      <c r="G4" s="7">
        <f t="shared" si="3"/>
        <v>2026</v>
      </c>
      <c r="H4" s="7">
        <f t="shared" si="4"/>
        <v>-76</v>
      </c>
      <c r="I4" s="8" t="str">
        <f t="shared" ca="1" si="5"/>
        <v>22 Day</v>
      </c>
      <c r="J4" s="7" t="str">
        <f t="shared" si="6"/>
        <v>03-February-2026</v>
      </c>
      <c r="L4" s="1">
        <f t="shared" si="7"/>
        <v>46142</v>
      </c>
      <c r="M4" s="7">
        <f t="shared" si="8"/>
        <v>75</v>
      </c>
    </row>
    <row r="5" spans="1:13" x14ac:dyDescent="0.3">
      <c r="A5" s="12">
        <v>46057</v>
      </c>
      <c r="B5" s="1" t="s">
        <v>159</v>
      </c>
      <c r="D5" s="1">
        <f t="shared" si="0"/>
        <v>46064</v>
      </c>
      <c r="E5" s="7">
        <f t="shared" si="1"/>
        <v>4</v>
      </c>
      <c r="F5" s="7">
        <f t="shared" si="2"/>
        <v>2</v>
      </c>
      <c r="G5" s="7">
        <f t="shared" si="3"/>
        <v>2026</v>
      </c>
      <c r="H5" s="7">
        <f t="shared" si="4"/>
        <v>-7</v>
      </c>
      <c r="I5" s="8" t="str">
        <f t="shared" ca="1" si="5"/>
        <v>21 Day</v>
      </c>
      <c r="J5" s="7" t="str">
        <f t="shared" si="6"/>
        <v>04-February-2026</v>
      </c>
      <c r="L5" s="1">
        <f t="shared" si="7"/>
        <v>46142</v>
      </c>
      <c r="M5" s="7">
        <f t="shared" si="8"/>
        <v>74</v>
      </c>
    </row>
    <row r="6" spans="1:13" x14ac:dyDescent="0.3">
      <c r="A6" s="12">
        <v>46058</v>
      </c>
      <c r="B6" s="1" t="s">
        <v>157</v>
      </c>
      <c r="D6" s="1">
        <f t="shared" si="0"/>
        <v>46096</v>
      </c>
      <c r="E6" s="7">
        <f t="shared" si="1"/>
        <v>5</v>
      </c>
      <c r="F6" s="7">
        <f t="shared" si="2"/>
        <v>2</v>
      </c>
      <c r="G6" s="7">
        <f t="shared" si="3"/>
        <v>2026</v>
      </c>
      <c r="H6" s="7">
        <f t="shared" si="4"/>
        <v>-38</v>
      </c>
      <c r="I6" s="8" t="str">
        <f t="shared" ca="1" si="5"/>
        <v>20 Day</v>
      </c>
      <c r="J6" s="7" t="str">
        <f t="shared" si="6"/>
        <v>05-February-2026</v>
      </c>
      <c r="L6" s="1">
        <f t="shared" si="7"/>
        <v>46142</v>
      </c>
      <c r="M6" s="7">
        <f t="shared" si="8"/>
        <v>73</v>
      </c>
    </row>
    <row r="7" spans="1:13" x14ac:dyDescent="0.3">
      <c r="A7" s="12">
        <v>46059</v>
      </c>
      <c r="B7" s="1" t="s">
        <v>158</v>
      </c>
      <c r="D7" s="1">
        <f t="shared" si="0"/>
        <v>46132</v>
      </c>
      <c r="E7" s="7">
        <f t="shared" si="1"/>
        <v>6</v>
      </c>
      <c r="F7" s="7">
        <f t="shared" si="2"/>
        <v>2</v>
      </c>
      <c r="G7" s="7">
        <f t="shared" si="3"/>
        <v>2026</v>
      </c>
      <c r="H7" s="7">
        <f t="shared" si="4"/>
        <v>-73</v>
      </c>
      <c r="I7" s="8" t="str">
        <f t="shared" ca="1" si="5"/>
        <v>19 Day</v>
      </c>
      <c r="J7" s="7" t="str">
        <f t="shared" si="6"/>
        <v>06-February-2026</v>
      </c>
      <c r="L7" s="1">
        <f t="shared" si="7"/>
        <v>46142</v>
      </c>
      <c r="M7" s="7">
        <f t="shared" si="8"/>
        <v>72</v>
      </c>
    </row>
    <row r="8" spans="1:13" x14ac:dyDescent="0.3">
      <c r="A8" s="12">
        <v>46060</v>
      </c>
      <c r="B8" s="1" t="s">
        <v>160</v>
      </c>
      <c r="D8" s="1">
        <f t="shared" si="0"/>
        <v>46065</v>
      </c>
      <c r="E8" s="7">
        <f t="shared" si="1"/>
        <v>7</v>
      </c>
      <c r="F8" s="7">
        <f t="shared" si="2"/>
        <v>2</v>
      </c>
      <c r="G8" s="7">
        <f t="shared" si="3"/>
        <v>2026</v>
      </c>
      <c r="H8" s="7">
        <f t="shared" si="4"/>
        <v>-5</v>
      </c>
      <c r="I8" s="8" t="str">
        <f t="shared" ca="1" si="5"/>
        <v>18 Day</v>
      </c>
      <c r="J8" s="7" t="str">
        <f t="shared" si="6"/>
        <v>07-February-2026</v>
      </c>
      <c r="L8" s="1">
        <f t="shared" si="7"/>
        <v>46142</v>
      </c>
      <c r="M8" s="7">
        <f t="shared" si="8"/>
        <v>72</v>
      </c>
    </row>
    <row r="9" spans="1:13" x14ac:dyDescent="0.3">
      <c r="A9" s="12">
        <v>46061</v>
      </c>
      <c r="B9" s="1" t="s">
        <v>157</v>
      </c>
      <c r="D9" s="1">
        <f t="shared" si="0"/>
        <v>46096</v>
      </c>
      <c r="E9" s="7">
        <f t="shared" si="1"/>
        <v>8</v>
      </c>
      <c r="F9" s="7">
        <f t="shared" si="2"/>
        <v>2</v>
      </c>
      <c r="G9" s="7">
        <f t="shared" si="3"/>
        <v>2026</v>
      </c>
      <c r="H9" s="7">
        <f t="shared" si="4"/>
        <v>-35</v>
      </c>
      <c r="I9" s="8" t="str">
        <f t="shared" ca="1" si="5"/>
        <v>17 Day</v>
      </c>
      <c r="J9" s="7" t="str">
        <f t="shared" si="6"/>
        <v>08-February-2026</v>
      </c>
      <c r="L9" s="1">
        <f t="shared" si="7"/>
        <v>46142</v>
      </c>
      <c r="M9" s="7">
        <f t="shared" si="8"/>
        <v>71</v>
      </c>
    </row>
    <row r="10" spans="1:13" x14ac:dyDescent="0.3">
      <c r="A10" s="12">
        <v>46062</v>
      </c>
      <c r="B10" s="1" t="s">
        <v>158</v>
      </c>
      <c r="D10" s="1">
        <f t="shared" si="0"/>
        <v>46132</v>
      </c>
      <c r="E10" s="7">
        <f t="shared" si="1"/>
        <v>9</v>
      </c>
      <c r="F10" s="7">
        <f t="shared" si="2"/>
        <v>2</v>
      </c>
      <c r="G10" s="7">
        <f t="shared" si="3"/>
        <v>2026</v>
      </c>
      <c r="H10" s="7">
        <f t="shared" si="4"/>
        <v>-70</v>
      </c>
      <c r="I10" s="8" t="str">
        <f t="shared" ca="1" si="5"/>
        <v>16 Day</v>
      </c>
      <c r="J10" s="7" t="str">
        <f t="shared" si="6"/>
        <v>09-February-2026</v>
      </c>
      <c r="L10" s="1">
        <f t="shared" si="7"/>
        <v>46142</v>
      </c>
      <c r="M10" s="7">
        <f t="shared" si="8"/>
        <v>70</v>
      </c>
    </row>
    <row r="11" spans="1:13" x14ac:dyDescent="0.3">
      <c r="A11" s="12">
        <v>46063</v>
      </c>
      <c r="B11" s="1" t="s">
        <v>161</v>
      </c>
      <c r="D11" s="1">
        <f t="shared" si="0"/>
        <v>46066</v>
      </c>
      <c r="E11" s="7">
        <f t="shared" si="1"/>
        <v>10</v>
      </c>
      <c r="F11" s="7">
        <f t="shared" si="2"/>
        <v>2</v>
      </c>
      <c r="G11" s="7">
        <f t="shared" si="3"/>
        <v>2026</v>
      </c>
      <c r="H11" s="7">
        <f t="shared" si="4"/>
        <v>-3</v>
      </c>
      <c r="I11" s="8" t="str">
        <f t="shared" ca="1" si="5"/>
        <v>15 Day</v>
      </c>
      <c r="J11" s="7" t="str">
        <f t="shared" si="6"/>
        <v>10-February-2026</v>
      </c>
      <c r="L11" s="1">
        <f t="shared" si="7"/>
        <v>46142</v>
      </c>
      <c r="M11" s="7">
        <f t="shared" si="8"/>
        <v>69</v>
      </c>
    </row>
    <row r="12" spans="1:13" x14ac:dyDescent="0.3">
      <c r="A12" s="12">
        <v>46064</v>
      </c>
      <c r="B12" s="1" t="s">
        <v>157</v>
      </c>
      <c r="D12" s="1">
        <f t="shared" si="0"/>
        <v>46096</v>
      </c>
      <c r="E12" s="7">
        <f t="shared" si="1"/>
        <v>11</v>
      </c>
      <c r="F12" s="7">
        <f t="shared" si="2"/>
        <v>2</v>
      </c>
      <c r="G12" s="7">
        <f t="shared" si="3"/>
        <v>2026</v>
      </c>
      <c r="H12" s="7">
        <f t="shared" si="4"/>
        <v>-32</v>
      </c>
      <c r="I12" s="8" t="str">
        <f t="shared" ca="1" si="5"/>
        <v>14 Day</v>
      </c>
      <c r="J12" s="7" t="str">
        <f t="shared" si="6"/>
        <v>11-February-2026</v>
      </c>
      <c r="L12" s="1">
        <f t="shared" si="7"/>
        <v>46142</v>
      </c>
      <c r="M12" s="7">
        <f t="shared" si="8"/>
        <v>68</v>
      </c>
    </row>
    <row r="13" spans="1:13" x14ac:dyDescent="0.3">
      <c r="A13" s="12">
        <v>46065</v>
      </c>
      <c r="B13" s="1" t="s">
        <v>158</v>
      </c>
      <c r="D13" s="1">
        <f t="shared" si="0"/>
        <v>46132</v>
      </c>
      <c r="E13" s="7">
        <f t="shared" si="1"/>
        <v>12</v>
      </c>
      <c r="F13" s="7">
        <f t="shared" si="2"/>
        <v>2</v>
      </c>
      <c r="G13" s="7">
        <f t="shared" si="3"/>
        <v>2026</v>
      </c>
      <c r="H13" s="7">
        <f t="shared" si="4"/>
        <v>-67</v>
      </c>
      <c r="I13" s="8" t="str">
        <f t="shared" ca="1" si="5"/>
        <v>13 Day</v>
      </c>
      <c r="J13" s="7" t="str">
        <f t="shared" si="6"/>
        <v>12-February-2026</v>
      </c>
      <c r="L13" s="1">
        <f t="shared" si="7"/>
        <v>46142</v>
      </c>
      <c r="M13" s="7">
        <f t="shared" si="8"/>
        <v>67</v>
      </c>
    </row>
    <row r="14" spans="1:13" x14ac:dyDescent="0.3">
      <c r="A14" s="12">
        <v>46066</v>
      </c>
      <c r="B14" s="1" t="s">
        <v>162</v>
      </c>
      <c r="D14" s="1">
        <f t="shared" si="0"/>
        <v>46067</v>
      </c>
      <c r="E14" s="7">
        <f t="shared" si="1"/>
        <v>13</v>
      </c>
      <c r="F14" s="7">
        <f t="shared" si="2"/>
        <v>2</v>
      </c>
      <c r="G14" s="7">
        <f t="shared" si="3"/>
        <v>2026</v>
      </c>
      <c r="H14" s="7">
        <f t="shared" si="4"/>
        <v>-1</v>
      </c>
      <c r="I14" s="8" t="str">
        <f t="shared" ca="1" si="5"/>
        <v>12 Day</v>
      </c>
      <c r="J14" s="7" t="str">
        <f t="shared" si="6"/>
        <v>13-February-2026</v>
      </c>
      <c r="L14" s="1">
        <f t="shared" si="7"/>
        <v>46142</v>
      </c>
      <c r="M14" s="7">
        <f t="shared" si="8"/>
        <v>66</v>
      </c>
    </row>
    <row r="15" spans="1:13" x14ac:dyDescent="0.3">
      <c r="A15" s="12">
        <v>46067</v>
      </c>
      <c r="B15" s="1" t="s">
        <v>157</v>
      </c>
      <c r="D15" s="1">
        <f t="shared" si="0"/>
        <v>46096</v>
      </c>
      <c r="E15" s="7">
        <f t="shared" si="1"/>
        <v>14</v>
      </c>
      <c r="F15" s="7">
        <f t="shared" si="2"/>
        <v>2</v>
      </c>
      <c r="G15" s="7">
        <f t="shared" si="3"/>
        <v>2026</v>
      </c>
      <c r="H15" s="7">
        <f t="shared" si="4"/>
        <v>-29</v>
      </c>
      <c r="I15" s="8" t="str">
        <f t="shared" ca="1" si="5"/>
        <v>11 Day</v>
      </c>
      <c r="J15" s="7" t="str">
        <f t="shared" si="6"/>
        <v>14-February-2026</v>
      </c>
      <c r="L15" s="1">
        <f t="shared" si="7"/>
        <v>46142</v>
      </c>
      <c r="M15" s="7">
        <f t="shared" si="8"/>
        <v>66</v>
      </c>
    </row>
    <row r="16" spans="1:13" x14ac:dyDescent="0.3">
      <c r="A16" s="12">
        <v>46068</v>
      </c>
      <c r="B16" s="1" t="s">
        <v>158</v>
      </c>
      <c r="D16" s="1">
        <f t="shared" si="0"/>
        <v>46132</v>
      </c>
      <c r="E16" s="7">
        <f t="shared" si="1"/>
        <v>15</v>
      </c>
      <c r="F16" s="7">
        <f t="shared" si="2"/>
        <v>2</v>
      </c>
      <c r="G16" s="7">
        <f t="shared" si="3"/>
        <v>2026</v>
      </c>
      <c r="H16" s="7">
        <f t="shared" si="4"/>
        <v>-64</v>
      </c>
      <c r="I16" s="8" t="str">
        <f t="shared" ca="1" si="5"/>
        <v>10 Day</v>
      </c>
      <c r="J16" s="7" t="str">
        <f t="shared" si="6"/>
        <v>15-February-2026</v>
      </c>
      <c r="L16" s="1">
        <f t="shared" si="7"/>
        <v>46142</v>
      </c>
      <c r="M16" s="7">
        <f t="shared" si="8"/>
        <v>65</v>
      </c>
    </row>
    <row r="17" spans="1:13" x14ac:dyDescent="0.3">
      <c r="A17" s="12">
        <v>46069</v>
      </c>
      <c r="B17" s="1" t="s">
        <v>163</v>
      </c>
      <c r="D17" s="1">
        <f t="shared" si="0"/>
        <v>46068</v>
      </c>
      <c r="E17" s="7">
        <f t="shared" si="1"/>
        <v>16</v>
      </c>
      <c r="F17" s="7">
        <f t="shared" si="2"/>
        <v>2</v>
      </c>
      <c r="G17" s="7">
        <f t="shared" si="3"/>
        <v>2026</v>
      </c>
      <c r="H17" s="7">
        <f t="shared" si="4"/>
        <v>1</v>
      </c>
      <c r="I17" s="8" t="str">
        <f t="shared" ca="1" si="5"/>
        <v>9 Day</v>
      </c>
      <c r="J17" s="7" t="str">
        <f t="shared" si="6"/>
        <v>16-February-2026</v>
      </c>
      <c r="L17" s="1">
        <f t="shared" si="7"/>
        <v>46142</v>
      </c>
      <c r="M17" s="7">
        <f t="shared" si="8"/>
        <v>64</v>
      </c>
    </row>
    <row r="18" spans="1:13" x14ac:dyDescent="0.3">
      <c r="A18" s="12">
        <v>46070</v>
      </c>
      <c r="B18" s="1" t="s">
        <v>157</v>
      </c>
      <c r="D18" s="1">
        <f t="shared" si="0"/>
        <v>46096</v>
      </c>
      <c r="E18" s="7">
        <f t="shared" si="1"/>
        <v>17</v>
      </c>
      <c r="F18" s="7">
        <f t="shared" si="2"/>
        <v>2</v>
      </c>
      <c r="G18" s="7">
        <f t="shared" si="3"/>
        <v>2026</v>
      </c>
      <c r="H18" s="7">
        <f t="shared" si="4"/>
        <v>-26</v>
      </c>
      <c r="I18" s="8" t="str">
        <f t="shared" ca="1" si="5"/>
        <v>8 Day</v>
      </c>
      <c r="J18" s="7" t="str">
        <f t="shared" si="6"/>
        <v>17-February-2026</v>
      </c>
      <c r="L18" s="1">
        <f t="shared" si="7"/>
        <v>46142</v>
      </c>
      <c r="M18" s="7">
        <f t="shared" si="8"/>
        <v>63</v>
      </c>
    </row>
    <row r="19" spans="1:13" x14ac:dyDescent="0.3">
      <c r="A19" s="12">
        <v>46071</v>
      </c>
      <c r="B19" s="1" t="s">
        <v>158</v>
      </c>
      <c r="D19" s="1">
        <f t="shared" si="0"/>
        <v>46132</v>
      </c>
      <c r="E19" s="7">
        <f t="shared" si="1"/>
        <v>18</v>
      </c>
      <c r="F19" s="7">
        <f t="shared" si="2"/>
        <v>2</v>
      </c>
      <c r="G19" s="7">
        <f t="shared" si="3"/>
        <v>2026</v>
      </c>
      <c r="H19" s="7">
        <f t="shared" si="4"/>
        <v>-61</v>
      </c>
      <c r="I19" s="8" t="str">
        <f t="shared" ca="1" si="5"/>
        <v>7 Day</v>
      </c>
      <c r="J19" s="7" t="str">
        <f t="shared" si="6"/>
        <v>18-February-2026</v>
      </c>
      <c r="L19" s="1">
        <f t="shared" si="7"/>
        <v>46142</v>
      </c>
      <c r="M19" s="7">
        <f t="shared" si="8"/>
        <v>62</v>
      </c>
    </row>
    <row r="20" spans="1:13" x14ac:dyDescent="0.3">
      <c r="A20" s="12">
        <v>46072</v>
      </c>
      <c r="B20" s="1" t="s">
        <v>164</v>
      </c>
      <c r="D20" s="1">
        <f t="shared" si="0"/>
        <v>46069</v>
      </c>
      <c r="E20" s="7">
        <f t="shared" si="1"/>
        <v>19</v>
      </c>
      <c r="F20" s="7">
        <f t="shared" si="2"/>
        <v>2</v>
      </c>
      <c r="G20" s="7">
        <f t="shared" si="3"/>
        <v>2026</v>
      </c>
      <c r="H20" s="7">
        <f t="shared" si="4"/>
        <v>3</v>
      </c>
      <c r="I20" s="8" t="str">
        <f t="shared" ca="1" si="5"/>
        <v>6 Day</v>
      </c>
      <c r="J20" s="7" t="str">
        <f t="shared" si="6"/>
        <v>19-February-2026</v>
      </c>
      <c r="L20" s="1">
        <f t="shared" si="7"/>
        <v>46142</v>
      </c>
      <c r="M20" s="7">
        <f t="shared" si="8"/>
        <v>61</v>
      </c>
    </row>
    <row r="21" spans="1:13" x14ac:dyDescent="0.3">
      <c r="A21" s="12">
        <v>46073</v>
      </c>
      <c r="B21" s="1" t="s">
        <v>157</v>
      </c>
      <c r="D21" s="1">
        <f t="shared" si="0"/>
        <v>46096</v>
      </c>
      <c r="E21" s="7">
        <f t="shared" si="1"/>
        <v>20</v>
      </c>
      <c r="F21" s="7">
        <f t="shared" si="2"/>
        <v>2</v>
      </c>
      <c r="G21" s="7">
        <f t="shared" si="3"/>
        <v>2026</v>
      </c>
      <c r="H21" s="7">
        <f t="shared" si="4"/>
        <v>-23</v>
      </c>
      <c r="I21" s="8" t="str">
        <f t="shared" ca="1" si="5"/>
        <v>5 Day</v>
      </c>
      <c r="J21" s="7" t="str">
        <f t="shared" si="6"/>
        <v>20-February-2026</v>
      </c>
      <c r="L21" s="1">
        <f t="shared" si="7"/>
        <v>46142</v>
      </c>
      <c r="M21" s="7">
        <f t="shared" si="8"/>
        <v>60</v>
      </c>
    </row>
    <row r="22" spans="1:13" x14ac:dyDescent="0.3">
      <c r="A22" s="12">
        <v>46074</v>
      </c>
      <c r="B22" s="1" t="s">
        <v>158</v>
      </c>
      <c r="D22" s="1">
        <f t="shared" si="0"/>
        <v>46132</v>
      </c>
      <c r="E22" s="7">
        <f t="shared" si="1"/>
        <v>21</v>
      </c>
      <c r="F22" s="7">
        <f t="shared" si="2"/>
        <v>2</v>
      </c>
      <c r="G22" s="7">
        <f t="shared" si="3"/>
        <v>2026</v>
      </c>
      <c r="H22" s="7">
        <f t="shared" si="4"/>
        <v>-58</v>
      </c>
      <c r="I22" s="8" t="str">
        <f t="shared" ca="1" si="5"/>
        <v>4 Day</v>
      </c>
      <c r="J22" s="7" t="str">
        <f t="shared" si="6"/>
        <v>21-February-2026</v>
      </c>
      <c r="L22" s="1">
        <f t="shared" si="7"/>
        <v>46142</v>
      </c>
      <c r="M22" s="7">
        <f t="shared" si="8"/>
        <v>60</v>
      </c>
    </row>
    <row r="23" spans="1:13" x14ac:dyDescent="0.3">
      <c r="A23" s="12">
        <v>46075</v>
      </c>
      <c r="B23" s="1" t="s">
        <v>165</v>
      </c>
      <c r="D23" s="1">
        <f t="shared" si="0"/>
        <v>46070</v>
      </c>
      <c r="E23" s="7">
        <f t="shared" si="1"/>
        <v>22</v>
      </c>
      <c r="F23" s="7">
        <f t="shared" si="2"/>
        <v>2</v>
      </c>
      <c r="G23" s="7">
        <f t="shared" si="3"/>
        <v>2026</v>
      </c>
      <c r="H23" s="7">
        <f t="shared" si="4"/>
        <v>5</v>
      </c>
      <c r="I23" s="8" t="str">
        <f t="shared" ca="1" si="5"/>
        <v>3 Day</v>
      </c>
      <c r="J23" s="7" t="str">
        <f t="shared" si="6"/>
        <v>22-February-2026</v>
      </c>
      <c r="L23" s="1">
        <f t="shared" si="7"/>
        <v>46142</v>
      </c>
      <c r="M23" s="7">
        <f t="shared" si="8"/>
        <v>59</v>
      </c>
    </row>
    <row r="24" spans="1:13" x14ac:dyDescent="0.3">
      <c r="A24" s="12">
        <v>46076</v>
      </c>
      <c r="B24" s="1" t="s">
        <v>157</v>
      </c>
      <c r="D24" s="1">
        <f t="shared" si="0"/>
        <v>46096</v>
      </c>
      <c r="E24" s="7">
        <f t="shared" si="1"/>
        <v>23</v>
      </c>
      <c r="F24" s="7">
        <f t="shared" si="2"/>
        <v>2</v>
      </c>
      <c r="G24" s="7">
        <f t="shared" si="3"/>
        <v>2026</v>
      </c>
      <c r="H24" s="7">
        <f t="shared" si="4"/>
        <v>-20</v>
      </c>
      <c r="I24" s="8" t="str">
        <f t="shared" ca="1" si="5"/>
        <v>2 Day</v>
      </c>
      <c r="J24" s="7" t="str">
        <f t="shared" si="6"/>
        <v>23-February-2026</v>
      </c>
      <c r="L24" s="1">
        <f t="shared" si="7"/>
        <v>46142</v>
      </c>
      <c r="M24" s="7">
        <f t="shared" si="8"/>
        <v>58</v>
      </c>
    </row>
    <row r="25" spans="1:13" x14ac:dyDescent="0.3">
      <c r="A25" s="12">
        <v>46077</v>
      </c>
      <c r="B25" s="1" t="s">
        <v>158</v>
      </c>
      <c r="D25" s="1">
        <f t="shared" si="0"/>
        <v>46132</v>
      </c>
      <c r="E25" s="7">
        <f t="shared" si="1"/>
        <v>24</v>
      </c>
      <c r="F25" s="7">
        <f t="shared" si="2"/>
        <v>2</v>
      </c>
      <c r="G25" s="7">
        <f t="shared" si="3"/>
        <v>2026</v>
      </c>
      <c r="H25" s="7">
        <f t="shared" si="4"/>
        <v>-55</v>
      </c>
      <c r="I25" s="8" t="str">
        <f t="shared" ca="1" si="5"/>
        <v>1 Day</v>
      </c>
      <c r="J25" s="7" t="str">
        <f t="shared" si="6"/>
        <v>24-February-2026</v>
      </c>
      <c r="L25" s="1">
        <f t="shared" si="7"/>
        <v>46142</v>
      </c>
      <c r="M25" s="7">
        <f t="shared" si="8"/>
        <v>57</v>
      </c>
    </row>
    <row r="26" spans="1:13" x14ac:dyDescent="0.3">
      <c r="F26" s="7"/>
      <c r="G26" s="7"/>
      <c r="I26" s="8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6F4F-F3CA-4BDC-AF59-C224F23918B9}">
  <dimension ref="A1:I183"/>
  <sheetViews>
    <sheetView tabSelected="1" workbookViewId="0">
      <selection activeCell="J2" sqref="J2"/>
    </sheetView>
  </sheetViews>
  <sheetFormatPr defaultRowHeight="14.4" x14ac:dyDescent="0.3"/>
  <sheetData>
    <row r="1" spans="1:9" x14ac:dyDescent="0.3">
      <c r="A1" s="4" t="s">
        <v>87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</row>
    <row r="2" spans="1:9" x14ac:dyDescent="0.3">
      <c r="A2" s="7" t="s">
        <v>96</v>
      </c>
      <c r="B2" s="7" t="s">
        <v>97</v>
      </c>
      <c r="C2" s="7" t="s">
        <v>98</v>
      </c>
      <c r="D2" s="7" t="s">
        <v>99</v>
      </c>
      <c r="E2" s="7" t="s">
        <v>100</v>
      </c>
      <c r="F2" s="7" t="s">
        <v>101</v>
      </c>
      <c r="G2" s="7">
        <v>5</v>
      </c>
      <c r="H2" s="7">
        <v>8000</v>
      </c>
      <c r="I2" s="7">
        <v>40000</v>
      </c>
    </row>
    <row r="3" spans="1:9" x14ac:dyDescent="0.3">
      <c r="A3" s="7" t="s">
        <v>102</v>
      </c>
      <c r="B3" s="7" t="s">
        <v>103</v>
      </c>
      <c r="C3" s="7" t="s">
        <v>104</v>
      </c>
      <c r="D3" s="7" t="s">
        <v>105</v>
      </c>
      <c r="E3" s="7" t="s">
        <v>106</v>
      </c>
      <c r="F3" s="7" t="s">
        <v>107</v>
      </c>
      <c r="G3" s="7">
        <v>20</v>
      </c>
      <c r="H3" s="7">
        <v>50</v>
      </c>
      <c r="I3" s="7">
        <v>1000</v>
      </c>
    </row>
    <row r="4" spans="1:9" x14ac:dyDescent="0.3">
      <c r="A4" s="7" t="s">
        <v>108</v>
      </c>
      <c r="B4" s="7" t="s">
        <v>109</v>
      </c>
      <c r="C4" s="7" t="s">
        <v>110</v>
      </c>
      <c r="D4" s="7" t="s">
        <v>111</v>
      </c>
      <c r="E4" s="7" t="s">
        <v>112</v>
      </c>
      <c r="F4" s="7" t="s">
        <v>113</v>
      </c>
      <c r="G4" s="7">
        <v>10</v>
      </c>
      <c r="H4" s="7">
        <v>1200</v>
      </c>
      <c r="I4" s="7">
        <v>12000</v>
      </c>
    </row>
    <row r="5" spans="1:9" x14ac:dyDescent="0.3">
      <c r="A5" s="7" t="s">
        <v>114</v>
      </c>
      <c r="B5" s="7" t="s">
        <v>115</v>
      </c>
      <c r="C5" s="7" t="s">
        <v>116</v>
      </c>
      <c r="D5" s="7" t="s">
        <v>117</v>
      </c>
      <c r="E5" s="7" t="s">
        <v>118</v>
      </c>
      <c r="F5" s="7" t="s">
        <v>119</v>
      </c>
      <c r="G5" s="7">
        <v>3</v>
      </c>
      <c r="H5" s="7">
        <v>3500</v>
      </c>
      <c r="I5" s="7">
        <v>10500</v>
      </c>
    </row>
    <row r="6" spans="1:9" x14ac:dyDescent="0.3">
      <c r="A6" s="7" t="s">
        <v>120</v>
      </c>
      <c r="B6" s="7" t="s">
        <v>121</v>
      </c>
      <c r="C6" s="7" t="s">
        <v>122</v>
      </c>
      <c r="D6" s="7" t="s">
        <v>123</v>
      </c>
      <c r="E6" s="7" t="s">
        <v>124</v>
      </c>
      <c r="F6" s="7" t="s">
        <v>125</v>
      </c>
      <c r="G6" s="7">
        <v>7</v>
      </c>
      <c r="H6" s="7">
        <v>1500</v>
      </c>
      <c r="I6" s="7">
        <v>10500</v>
      </c>
    </row>
    <row r="7" spans="1:9" x14ac:dyDescent="0.3">
      <c r="A7" s="7" t="s">
        <v>126</v>
      </c>
      <c r="B7" s="7" t="s">
        <v>127</v>
      </c>
      <c r="C7" s="7" t="s">
        <v>128</v>
      </c>
      <c r="D7" s="7" t="s">
        <v>129</v>
      </c>
      <c r="E7" s="7" t="s">
        <v>100</v>
      </c>
      <c r="F7" s="7" t="s">
        <v>130</v>
      </c>
      <c r="G7" s="7">
        <v>12</v>
      </c>
      <c r="H7" s="7">
        <v>2500</v>
      </c>
      <c r="I7" s="7">
        <v>30000</v>
      </c>
    </row>
    <row r="8" spans="1:9" x14ac:dyDescent="0.3">
      <c r="A8" s="7" t="s">
        <v>131</v>
      </c>
      <c r="B8" s="7" t="s">
        <v>132</v>
      </c>
      <c r="C8" s="7" t="s">
        <v>133</v>
      </c>
      <c r="D8" s="7" t="s">
        <v>134</v>
      </c>
      <c r="E8" s="7" t="s">
        <v>106</v>
      </c>
      <c r="F8" s="7" t="s">
        <v>135</v>
      </c>
      <c r="G8" s="7">
        <v>15</v>
      </c>
      <c r="H8" s="7">
        <v>300</v>
      </c>
      <c r="I8" s="7">
        <v>4500</v>
      </c>
    </row>
    <row r="9" spans="1:9" x14ac:dyDescent="0.3">
      <c r="A9" s="7" t="s">
        <v>136</v>
      </c>
      <c r="B9" s="7" t="s">
        <v>137</v>
      </c>
      <c r="C9" s="7" t="s">
        <v>138</v>
      </c>
      <c r="D9" s="7" t="s">
        <v>139</v>
      </c>
      <c r="E9" s="7" t="s">
        <v>112</v>
      </c>
      <c r="F9" s="7" t="s">
        <v>140</v>
      </c>
      <c r="G9" s="7">
        <v>8</v>
      </c>
      <c r="H9" s="7">
        <v>2000</v>
      </c>
      <c r="I9" s="7">
        <v>16000</v>
      </c>
    </row>
    <row r="10" spans="1:9" x14ac:dyDescent="0.3">
      <c r="A10" s="7" t="s">
        <v>141</v>
      </c>
      <c r="B10" s="7" t="s">
        <v>142</v>
      </c>
      <c r="C10" s="7" t="s">
        <v>143</v>
      </c>
      <c r="D10" s="7" t="s">
        <v>105</v>
      </c>
      <c r="E10" s="7" t="s">
        <v>118</v>
      </c>
      <c r="F10" s="7" t="s">
        <v>144</v>
      </c>
      <c r="G10" s="7">
        <v>6</v>
      </c>
      <c r="H10" s="7">
        <v>900</v>
      </c>
      <c r="I10" s="7">
        <v>5400</v>
      </c>
    </row>
    <row r="11" spans="1:9" x14ac:dyDescent="0.3">
      <c r="A11" s="7" t="s">
        <v>145</v>
      </c>
      <c r="B11" s="7" t="s">
        <v>146</v>
      </c>
      <c r="C11" s="7" t="s">
        <v>147</v>
      </c>
      <c r="D11" s="7" t="s">
        <v>99</v>
      </c>
      <c r="E11" s="7" t="s">
        <v>124</v>
      </c>
      <c r="F11" s="7" t="s">
        <v>148</v>
      </c>
      <c r="G11" s="7">
        <v>2</v>
      </c>
      <c r="H11" s="7">
        <v>65000</v>
      </c>
      <c r="I11" s="7">
        <v>130000</v>
      </c>
    </row>
    <row r="12" spans="1:9" x14ac:dyDescent="0.3">
      <c r="A12" s="7" t="s">
        <v>174</v>
      </c>
      <c r="B12" s="7" t="s">
        <v>97</v>
      </c>
      <c r="C12" s="7" t="s">
        <v>98</v>
      </c>
      <c r="D12" s="7" t="s">
        <v>99</v>
      </c>
      <c r="E12" s="7" t="s">
        <v>100</v>
      </c>
      <c r="F12" s="7" t="s">
        <v>101</v>
      </c>
      <c r="G12" s="7">
        <v>5.6666666666666599</v>
      </c>
      <c r="H12" s="7">
        <v>25640</v>
      </c>
      <c r="I12" s="7">
        <v>54733.333333333299</v>
      </c>
    </row>
    <row r="13" spans="1:9" x14ac:dyDescent="0.3">
      <c r="A13" s="7" t="s">
        <v>175</v>
      </c>
      <c r="B13" s="7" t="s">
        <v>103</v>
      </c>
      <c r="C13" s="7" t="s">
        <v>104</v>
      </c>
      <c r="D13" s="7" t="s">
        <v>105</v>
      </c>
      <c r="E13" s="7" t="s">
        <v>106</v>
      </c>
      <c r="F13" s="7" t="s">
        <v>107</v>
      </c>
      <c r="G13" s="7">
        <v>5.0969696969696896</v>
      </c>
      <c r="H13" s="7">
        <v>28757.272727272699</v>
      </c>
      <c r="I13" s="7">
        <v>59959.393939394002</v>
      </c>
    </row>
    <row r="14" spans="1:9" x14ac:dyDescent="0.3">
      <c r="A14" s="7" t="s">
        <v>176</v>
      </c>
      <c r="B14" s="7" t="s">
        <v>109</v>
      </c>
      <c r="C14" s="7" t="s">
        <v>110</v>
      </c>
      <c r="D14" s="7" t="s">
        <v>111</v>
      </c>
      <c r="E14" s="7" t="s">
        <v>112</v>
      </c>
      <c r="F14" s="7" t="s">
        <v>113</v>
      </c>
      <c r="G14" s="7">
        <v>4.5272727272727202</v>
      </c>
      <c r="H14" s="7">
        <v>31874.545454545401</v>
      </c>
      <c r="I14" s="7">
        <v>65185.454545454602</v>
      </c>
    </row>
    <row r="15" spans="1:9" x14ac:dyDescent="0.3">
      <c r="A15" s="7" t="s">
        <v>177</v>
      </c>
      <c r="B15" s="7" t="s">
        <v>115</v>
      </c>
      <c r="C15" s="7" t="s">
        <v>116</v>
      </c>
      <c r="D15" s="7" t="s">
        <v>117</v>
      </c>
      <c r="E15" s="7" t="s">
        <v>118</v>
      </c>
      <c r="F15" s="7" t="s">
        <v>119</v>
      </c>
      <c r="G15" s="7">
        <v>3.9575757575757602</v>
      </c>
      <c r="H15" s="7">
        <v>34991.818181818198</v>
      </c>
      <c r="I15" s="7">
        <v>70411.515151515196</v>
      </c>
    </row>
    <row r="16" spans="1:9" x14ac:dyDescent="0.3">
      <c r="A16" s="7" t="s">
        <v>178</v>
      </c>
      <c r="B16" s="7" t="s">
        <v>121</v>
      </c>
      <c r="C16" s="7" t="s">
        <v>122</v>
      </c>
      <c r="D16" s="7" t="s">
        <v>123</v>
      </c>
      <c r="E16" s="7" t="s">
        <v>124</v>
      </c>
      <c r="F16" s="7" t="s">
        <v>125</v>
      </c>
      <c r="G16" s="7">
        <v>3.3878787878787899</v>
      </c>
      <c r="H16" s="7">
        <v>38109.090909090897</v>
      </c>
      <c r="I16" s="7">
        <v>75637.575757575803</v>
      </c>
    </row>
    <row r="17" spans="1:9" x14ac:dyDescent="0.3">
      <c r="A17" s="7" t="s">
        <v>179</v>
      </c>
      <c r="B17" s="7" t="s">
        <v>127</v>
      </c>
      <c r="C17" s="7" t="s">
        <v>128</v>
      </c>
      <c r="D17" s="7" t="s">
        <v>129</v>
      </c>
      <c r="E17" s="7" t="s">
        <v>100</v>
      </c>
      <c r="F17" s="7" t="s">
        <v>130</v>
      </c>
      <c r="G17" s="7">
        <v>2.8181818181818201</v>
      </c>
      <c r="H17" s="7">
        <v>41226.363636363603</v>
      </c>
      <c r="I17" s="7">
        <v>80863.636363636397</v>
      </c>
    </row>
    <row r="18" spans="1:9" x14ac:dyDescent="0.3">
      <c r="A18" s="7" t="s">
        <v>180</v>
      </c>
      <c r="B18" s="7" t="s">
        <v>132</v>
      </c>
      <c r="C18" s="7" t="s">
        <v>133</v>
      </c>
      <c r="D18" s="7" t="s">
        <v>134</v>
      </c>
      <c r="E18" s="7" t="s">
        <v>106</v>
      </c>
      <c r="F18" s="7" t="s">
        <v>135</v>
      </c>
      <c r="G18" s="7">
        <v>2.2484848484848499</v>
      </c>
      <c r="H18" s="7">
        <v>44343.636363636302</v>
      </c>
      <c r="I18" s="7">
        <v>86089.696969697005</v>
      </c>
    </row>
    <row r="19" spans="1:9" x14ac:dyDescent="0.3">
      <c r="A19" s="7" t="s">
        <v>181</v>
      </c>
      <c r="B19" s="7" t="s">
        <v>137</v>
      </c>
      <c r="C19" s="7" t="s">
        <v>138</v>
      </c>
      <c r="D19" s="7" t="s">
        <v>139</v>
      </c>
      <c r="E19" s="7" t="s">
        <v>112</v>
      </c>
      <c r="F19" s="7" t="s">
        <v>140</v>
      </c>
      <c r="G19" s="7">
        <v>1.6787878787878801</v>
      </c>
      <c r="H19" s="7">
        <v>47460.909090909103</v>
      </c>
      <c r="I19" s="7">
        <v>91315.757575757598</v>
      </c>
    </row>
    <row r="20" spans="1:9" x14ac:dyDescent="0.3">
      <c r="A20" s="7" t="s">
        <v>182</v>
      </c>
      <c r="B20" s="7" t="s">
        <v>142</v>
      </c>
      <c r="C20" s="7" t="s">
        <v>143</v>
      </c>
      <c r="D20" s="7" t="s">
        <v>105</v>
      </c>
      <c r="E20" s="7" t="s">
        <v>118</v>
      </c>
      <c r="F20" s="7" t="s">
        <v>144</v>
      </c>
      <c r="G20" s="7">
        <v>1.1090909090908601</v>
      </c>
      <c r="H20" s="7">
        <v>50578.181818181802</v>
      </c>
      <c r="I20" s="7">
        <v>96541.818181818206</v>
      </c>
    </row>
    <row r="21" spans="1:9" x14ac:dyDescent="0.3">
      <c r="A21" s="7" t="s">
        <v>183</v>
      </c>
      <c r="B21" s="7" t="s">
        <v>146</v>
      </c>
      <c r="C21" s="7" t="s">
        <v>147</v>
      </c>
      <c r="D21" s="7" t="s">
        <v>99</v>
      </c>
      <c r="E21" s="7" t="s">
        <v>124</v>
      </c>
      <c r="F21" s="7" t="s">
        <v>148</v>
      </c>
      <c r="G21" s="7">
        <v>0.53939393939396396</v>
      </c>
      <c r="H21" s="7">
        <v>53695.4545454545</v>
      </c>
      <c r="I21" s="7">
        <v>101767.878787879</v>
      </c>
    </row>
    <row r="22" spans="1:9" x14ac:dyDescent="0.3">
      <c r="A22" s="7" t="s">
        <v>184</v>
      </c>
      <c r="B22" s="7" t="s">
        <v>97</v>
      </c>
      <c r="C22" s="7" t="s">
        <v>98</v>
      </c>
      <c r="D22" s="7" t="s">
        <v>99</v>
      </c>
      <c r="E22" s="7" t="s">
        <v>100</v>
      </c>
      <c r="F22" s="7" t="s">
        <v>101</v>
      </c>
      <c r="G22" s="7">
        <v>-3.03030303030365E-2</v>
      </c>
      <c r="H22" s="7">
        <v>56812.727272727301</v>
      </c>
      <c r="I22" s="7">
        <v>106993.939393939</v>
      </c>
    </row>
    <row r="23" spans="1:9" x14ac:dyDescent="0.3">
      <c r="A23" s="7" t="s">
        <v>185</v>
      </c>
      <c r="B23" s="7" t="s">
        <v>103</v>
      </c>
      <c r="C23" s="7" t="s">
        <v>104</v>
      </c>
      <c r="D23" s="7" t="s">
        <v>105</v>
      </c>
      <c r="E23" s="7" t="s">
        <v>106</v>
      </c>
      <c r="F23" s="7" t="s">
        <v>107</v>
      </c>
      <c r="G23" s="7">
        <v>-0.60000000000003695</v>
      </c>
      <c r="H23" s="7">
        <v>59930</v>
      </c>
      <c r="I23" s="7">
        <v>112220</v>
      </c>
    </row>
    <row r="24" spans="1:9" x14ac:dyDescent="0.3">
      <c r="A24" s="7" t="s">
        <v>186</v>
      </c>
      <c r="B24" s="7" t="s">
        <v>109</v>
      </c>
      <c r="C24" s="7" t="s">
        <v>110</v>
      </c>
      <c r="D24" s="7" t="s">
        <v>111</v>
      </c>
      <c r="E24" s="7" t="s">
        <v>112</v>
      </c>
      <c r="F24" s="7" t="s">
        <v>113</v>
      </c>
      <c r="G24" s="7">
        <v>-1.1696969696969399</v>
      </c>
      <c r="H24" s="7">
        <v>63047.272727272699</v>
      </c>
      <c r="I24" s="7">
        <v>117446.06060606</v>
      </c>
    </row>
    <row r="25" spans="1:9" x14ac:dyDescent="0.3">
      <c r="A25" s="7" t="s">
        <v>187</v>
      </c>
      <c r="B25" s="7" t="s">
        <v>115</v>
      </c>
      <c r="C25" s="7" t="s">
        <v>116</v>
      </c>
      <c r="D25" s="7" t="s">
        <v>117</v>
      </c>
      <c r="E25" s="7" t="s">
        <v>118</v>
      </c>
      <c r="F25" s="7" t="s">
        <v>119</v>
      </c>
      <c r="G25" s="7">
        <v>-1.7393939393939399</v>
      </c>
      <c r="H25" s="7">
        <v>66164.545454545398</v>
      </c>
      <c r="I25" s="7">
        <v>122672.121212121</v>
      </c>
    </row>
    <row r="26" spans="1:9" x14ac:dyDescent="0.3">
      <c r="A26" s="7" t="s">
        <v>188</v>
      </c>
      <c r="B26" s="7" t="s">
        <v>121</v>
      </c>
      <c r="C26" s="7" t="s">
        <v>122</v>
      </c>
      <c r="D26" s="7" t="s">
        <v>123</v>
      </c>
      <c r="E26" s="7" t="s">
        <v>124</v>
      </c>
      <c r="F26" s="7" t="s">
        <v>125</v>
      </c>
      <c r="G26" s="7">
        <v>-2.3090909090909402</v>
      </c>
      <c r="H26" s="7">
        <v>69281.818181818206</v>
      </c>
      <c r="I26" s="7">
        <v>127898.181818182</v>
      </c>
    </row>
    <row r="27" spans="1:9" x14ac:dyDescent="0.3">
      <c r="A27" s="7" t="s">
        <v>189</v>
      </c>
      <c r="B27" s="7" t="s">
        <v>127</v>
      </c>
      <c r="C27" s="7" t="s">
        <v>128</v>
      </c>
      <c r="D27" s="7" t="s">
        <v>129</v>
      </c>
      <c r="E27" s="7" t="s">
        <v>100</v>
      </c>
      <c r="F27" s="7" t="s">
        <v>130</v>
      </c>
      <c r="G27" s="7">
        <v>-2.8787878787878398</v>
      </c>
      <c r="H27" s="7">
        <v>72399.090909090897</v>
      </c>
      <c r="I27" s="7">
        <v>133124.24242424199</v>
      </c>
    </row>
    <row r="28" spans="1:9" x14ac:dyDescent="0.3">
      <c r="A28" s="7" t="s">
        <v>190</v>
      </c>
      <c r="B28" s="7" t="s">
        <v>132</v>
      </c>
      <c r="C28" s="7" t="s">
        <v>133</v>
      </c>
      <c r="D28" s="7" t="s">
        <v>134</v>
      </c>
      <c r="E28" s="7" t="s">
        <v>106</v>
      </c>
      <c r="F28" s="7" t="s">
        <v>135</v>
      </c>
      <c r="G28" s="7">
        <v>-3.4484848484848398</v>
      </c>
      <c r="H28" s="7">
        <v>75516.363636363603</v>
      </c>
      <c r="I28" s="7">
        <v>138350.30303030301</v>
      </c>
    </row>
    <row r="29" spans="1:9" x14ac:dyDescent="0.3">
      <c r="A29" s="7" t="s">
        <v>191</v>
      </c>
      <c r="B29" s="7" t="s">
        <v>137</v>
      </c>
      <c r="C29" s="7" t="s">
        <v>138</v>
      </c>
      <c r="D29" s="7" t="s">
        <v>139</v>
      </c>
      <c r="E29" s="7" t="s">
        <v>112</v>
      </c>
      <c r="F29" s="7" t="s">
        <v>140</v>
      </c>
      <c r="G29" s="7">
        <v>-4.0181818181818398</v>
      </c>
      <c r="H29" s="7">
        <v>78633.636363636295</v>
      </c>
      <c r="I29" s="7">
        <v>143576.36363636301</v>
      </c>
    </row>
    <row r="30" spans="1:9" x14ac:dyDescent="0.3">
      <c r="A30" s="7" t="s">
        <v>192</v>
      </c>
      <c r="B30" s="7" t="s">
        <v>142</v>
      </c>
      <c r="C30" s="7" t="s">
        <v>143</v>
      </c>
      <c r="D30" s="7" t="s">
        <v>105</v>
      </c>
      <c r="E30" s="7" t="s">
        <v>118</v>
      </c>
      <c r="F30" s="7" t="s">
        <v>144</v>
      </c>
      <c r="G30" s="7">
        <v>-4.5878787878787399</v>
      </c>
      <c r="H30" s="7">
        <v>81750.909090909103</v>
      </c>
      <c r="I30" s="7">
        <v>148802.42424242399</v>
      </c>
    </row>
    <row r="31" spans="1:9" x14ac:dyDescent="0.3">
      <c r="A31" s="7" t="s">
        <v>193</v>
      </c>
      <c r="B31" s="7" t="s">
        <v>146</v>
      </c>
      <c r="C31" s="7" t="s">
        <v>147</v>
      </c>
      <c r="D31" s="7" t="s">
        <v>99</v>
      </c>
      <c r="E31" s="7" t="s">
        <v>124</v>
      </c>
      <c r="F31" s="7" t="s">
        <v>148</v>
      </c>
      <c r="G31" s="7">
        <v>-5.1575757575757404</v>
      </c>
      <c r="H31" s="7">
        <v>84868.181818181794</v>
      </c>
      <c r="I31" s="7">
        <v>154028.48484848501</v>
      </c>
    </row>
    <row r="32" spans="1:9" x14ac:dyDescent="0.3">
      <c r="A32" s="7" t="s">
        <v>194</v>
      </c>
      <c r="B32" s="7" t="s">
        <v>97</v>
      </c>
      <c r="C32" s="7" t="s">
        <v>98</v>
      </c>
      <c r="D32" s="7" t="s">
        <v>99</v>
      </c>
      <c r="E32" s="7" t="s">
        <v>100</v>
      </c>
      <c r="F32" s="7" t="s">
        <v>101</v>
      </c>
      <c r="G32" s="7">
        <v>-5.7272727272727399</v>
      </c>
      <c r="H32" s="7">
        <v>87985.4545454545</v>
      </c>
      <c r="I32" s="7">
        <v>159254.545454545</v>
      </c>
    </row>
    <row r="33" spans="1:9" x14ac:dyDescent="0.3">
      <c r="A33" s="7" t="s">
        <v>195</v>
      </c>
      <c r="B33" s="7" t="s">
        <v>103</v>
      </c>
      <c r="C33" s="7" t="s">
        <v>104</v>
      </c>
      <c r="D33" s="7" t="s">
        <v>105</v>
      </c>
      <c r="E33" s="7" t="s">
        <v>106</v>
      </c>
      <c r="F33" s="7" t="s">
        <v>107</v>
      </c>
      <c r="G33" s="7">
        <v>-6.2969696969697404</v>
      </c>
      <c r="H33" s="7">
        <v>91102.727272727294</v>
      </c>
      <c r="I33" s="7">
        <v>164480.60606060599</v>
      </c>
    </row>
    <row r="34" spans="1:9" x14ac:dyDescent="0.3">
      <c r="A34" s="7" t="s">
        <v>196</v>
      </c>
      <c r="B34" s="7" t="s">
        <v>109</v>
      </c>
      <c r="C34" s="7" t="s">
        <v>110</v>
      </c>
      <c r="D34" s="7" t="s">
        <v>111</v>
      </c>
      <c r="E34" s="7" t="s">
        <v>112</v>
      </c>
      <c r="F34" s="7" t="s">
        <v>113</v>
      </c>
      <c r="G34" s="7">
        <v>-6.8666666666666396</v>
      </c>
      <c r="H34" s="7">
        <v>94220</v>
      </c>
      <c r="I34" s="7">
        <v>169706.66666666599</v>
      </c>
    </row>
    <row r="35" spans="1:9" x14ac:dyDescent="0.3">
      <c r="A35" s="7" t="s">
        <v>197</v>
      </c>
      <c r="B35" s="7" t="s">
        <v>115</v>
      </c>
      <c r="C35" s="7" t="s">
        <v>116</v>
      </c>
      <c r="D35" s="7" t="s">
        <v>117</v>
      </c>
      <c r="E35" s="7" t="s">
        <v>118</v>
      </c>
      <c r="F35" s="7" t="s">
        <v>119</v>
      </c>
      <c r="G35" s="7">
        <v>-7.4363636363636401</v>
      </c>
      <c r="H35" s="7">
        <v>97337.272727272706</v>
      </c>
      <c r="I35" s="7">
        <v>174932.727272727</v>
      </c>
    </row>
    <row r="36" spans="1:9" x14ac:dyDescent="0.3">
      <c r="A36" s="7" t="s">
        <v>198</v>
      </c>
      <c r="B36" s="7" t="s">
        <v>121</v>
      </c>
      <c r="C36" s="7" t="s">
        <v>122</v>
      </c>
      <c r="D36" s="7" t="s">
        <v>123</v>
      </c>
      <c r="E36" s="7" t="s">
        <v>124</v>
      </c>
      <c r="F36" s="7" t="s">
        <v>125</v>
      </c>
      <c r="G36" s="7">
        <v>-8.0060606060606396</v>
      </c>
      <c r="H36" s="7">
        <v>100454.54545454599</v>
      </c>
      <c r="I36" s="7">
        <v>180158.78787878799</v>
      </c>
    </row>
    <row r="37" spans="1:9" x14ac:dyDescent="0.3">
      <c r="A37" s="7" t="s">
        <v>199</v>
      </c>
      <c r="B37" s="7" t="s">
        <v>127</v>
      </c>
      <c r="C37" s="7" t="s">
        <v>128</v>
      </c>
      <c r="D37" s="7" t="s">
        <v>129</v>
      </c>
      <c r="E37" s="7" t="s">
        <v>100</v>
      </c>
      <c r="F37" s="7" t="s">
        <v>130</v>
      </c>
      <c r="G37" s="7">
        <v>-8.5757575757575406</v>
      </c>
      <c r="H37" s="7">
        <v>103571.818181818</v>
      </c>
      <c r="I37" s="7">
        <v>185384.84848484799</v>
      </c>
    </row>
    <row r="38" spans="1:9" x14ac:dyDescent="0.3">
      <c r="A38" s="7" t="s">
        <v>200</v>
      </c>
      <c r="B38" s="7" t="s">
        <v>132</v>
      </c>
      <c r="C38" s="7" t="s">
        <v>133</v>
      </c>
      <c r="D38" s="7" t="s">
        <v>134</v>
      </c>
      <c r="E38" s="7" t="s">
        <v>106</v>
      </c>
      <c r="F38" s="7" t="s">
        <v>135</v>
      </c>
      <c r="G38" s="7">
        <v>-9.1454545454545393</v>
      </c>
      <c r="H38" s="7">
        <v>106689.090909091</v>
      </c>
      <c r="I38" s="7">
        <v>190610.909090909</v>
      </c>
    </row>
    <row r="39" spans="1:9" x14ac:dyDescent="0.3">
      <c r="A39" s="7" t="s">
        <v>201</v>
      </c>
      <c r="B39" s="7" t="s">
        <v>137</v>
      </c>
      <c r="C39" s="7" t="s">
        <v>138</v>
      </c>
      <c r="D39" s="7" t="s">
        <v>139</v>
      </c>
      <c r="E39" s="7" t="s">
        <v>112</v>
      </c>
      <c r="F39" s="7" t="s">
        <v>140</v>
      </c>
      <c r="G39" s="7">
        <v>-9.7151515151515397</v>
      </c>
      <c r="H39" s="7">
        <v>109806.363636364</v>
      </c>
      <c r="I39" s="7">
        <v>195836.969696969</v>
      </c>
    </row>
    <row r="40" spans="1:9" x14ac:dyDescent="0.3">
      <c r="A40" s="7" t="s">
        <v>202</v>
      </c>
      <c r="B40" s="7" t="s">
        <v>142</v>
      </c>
      <c r="C40" s="7" t="s">
        <v>143</v>
      </c>
      <c r="D40" s="7" t="s">
        <v>105</v>
      </c>
      <c r="E40" s="7" t="s">
        <v>118</v>
      </c>
      <c r="F40" s="7" t="s">
        <v>144</v>
      </c>
      <c r="G40" s="7">
        <v>-10.2848484848484</v>
      </c>
      <c r="H40" s="7">
        <v>112923.63636363699</v>
      </c>
      <c r="I40" s="7">
        <v>201063.03030303001</v>
      </c>
    </row>
    <row r="41" spans="1:9" x14ac:dyDescent="0.3">
      <c r="A41" s="7" t="s">
        <v>203</v>
      </c>
      <c r="B41" s="7" t="s">
        <v>146</v>
      </c>
      <c r="C41" s="7" t="s">
        <v>147</v>
      </c>
      <c r="D41" s="7" t="s">
        <v>99</v>
      </c>
      <c r="E41" s="7" t="s">
        <v>124</v>
      </c>
      <c r="F41" s="7" t="s">
        <v>148</v>
      </c>
      <c r="G41" s="7">
        <v>-10.8545454545454</v>
      </c>
      <c r="H41" s="7">
        <v>116040.909090909</v>
      </c>
      <c r="I41" s="7">
        <v>206289.090909091</v>
      </c>
    </row>
    <row r="42" spans="1:9" x14ac:dyDescent="0.3">
      <c r="A42" s="7" t="s">
        <v>204</v>
      </c>
      <c r="B42" s="7" t="s">
        <v>97</v>
      </c>
      <c r="C42" s="7" t="s">
        <v>98</v>
      </c>
      <c r="D42" s="7" t="s">
        <v>99</v>
      </c>
      <c r="E42" s="7" t="s">
        <v>100</v>
      </c>
      <c r="F42" s="7" t="s">
        <v>101</v>
      </c>
      <c r="G42" s="7">
        <v>-11.424242424242401</v>
      </c>
      <c r="H42" s="7">
        <v>119158.181818182</v>
      </c>
      <c r="I42" s="7">
        <v>211515.151515151</v>
      </c>
    </row>
    <row r="43" spans="1:9" x14ac:dyDescent="0.3">
      <c r="A43" s="7" t="s">
        <v>205</v>
      </c>
      <c r="B43" s="7" t="s">
        <v>103</v>
      </c>
      <c r="C43" s="7" t="s">
        <v>104</v>
      </c>
      <c r="D43" s="7" t="s">
        <v>105</v>
      </c>
      <c r="E43" s="7" t="s">
        <v>106</v>
      </c>
      <c r="F43" s="7" t="s">
        <v>107</v>
      </c>
      <c r="G43" s="7">
        <v>-11.993939393939399</v>
      </c>
      <c r="H43" s="7">
        <v>122275.454545455</v>
      </c>
      <c r="I43" s="7">
        <v>216741.21212121201</v>
      </c>
    </row>
    <row r="44" spans="1:9" x14ac:dyDescent="0.3">
      <c r="A44" s="7" t="s">
        <v>206</v>
      </c>
      <c r="B44" s="7" t="s">
        <v>109</v>
      </c>
      <c r="C44" s="7" t="s">
        <v>110</v>
      </c>
      <c r="D44" s="7" t="s">
        <v>111</v>
      </c>
      <c r="E44" s="7" t="s">
        <v>112</v>
      </c>
      <c r="F44" s="7" t="s">
        <v>113</v>
      </c>
      <c r="G44" s="7">
        <v>-12.5636363636363</v>
      </c>
      <c r="H44" s="7">
        <v>125392.72727272801</v>
      </c>
      <c r="I44" s="7">
        <v>221967.27272727201</v>
      </c>
    </row>
    <row r="45" spans="1:9" x14ac:dyDescent="0.3">
      <c r="A45" s="7" t="s">
        <v>207</v>
      </c>
      <c r="B45" s="7" t="s">
        <v>115</v>
      </c>
      <c r="C45" s="7" t="s">
        <v>116</v>
      </c>
      <c r="D45" s="7" t="s">
        <v>117</v>
      </c>
      <c r="E45" s="7" t="s">
        <v>118</v>
      </c>
      <c r="F45" s="7" t="s">
        <v>119</v>
      </c>
      <c r="G45" s="7">
        <v>-13.133333333333301</v>
      </c>
      <c r="H45" s="7">
        <v>128510</v>
      </c>
      <c r="I45" s="7">
        <v>227193.33333333299</v>
      </c>
    </row>
    <row r="46" spans="1:9" x14ac:dyDescent="0.3">
      <c r="A46" s="7" t="s">
        <v>208</v>
      </c>
      <c r="B46" s="7" t="s">
        <v>121</v>
      </c>
      <c r="C46" s="7" t="s">
        <v>122</v>
      </c>
      <c r="D46" s="7" t="s">
        <v>123</v>
      </c>
      <c r="E46" s="7" t="s">
        <v>124</v>
      </c>
      <c r="F46" s="7" t="s">
        <v>125</v>
      </c>
      <c r="G46" s="7">
        <v>-13.7030303030303</v>
      </c>
      <c r="H46" s="7">
        <v>131627.272727273</v>
      </c>
      <c r="I46" s="7">
        <v>232419.39393939401</v>
      </c>
    </row>
    <row r="47" spans="1:9" x14ac:dyDescent="0.3">
      <c r="A47" s="7" t="s">
        <v>209</v>
      </c>
      <c r="B47" s="7" t="s">
        <v>127</v>
      </c>
      <c r="C47" s="7" t="s">
        <v>128</v>
      </c>
      <c r="D47" s="7" t="s">
        <v>129</v>
      </c>
      <c r="E47" s="7" t="s">
        <v>100</v>
      </c>
      <c r="F47" s="7" t="s">
        <v>130</v>
      </c>
      <c r="G47" s="7">
        <v>-14.272727272727201</v>
      </c>
      <c r="H47" s="7">
        <v>134744.54545454599</v>
      </c>
      <c r="I47" s="7">
        <v>237645.45454545401</v>
      </c>
    </row>
    <row r="48" spans="1:9" x14ac:dyDescent="0.3">
      <c r="A48" s="7" t="s">
        <v>210</v>
      </c>
      <c r="B48" s="7" t="s">
        <v>132</v>
      </c>
      <c r="C48" s="7" t="s">
        <v>133</v>
      </c>
      <c r="D48" s="7" t="s">
        <v>134</v>
      </c>
      <c r="E48" s="7" t="s">
        <v>106</v>
      </c>
      <c r="F48" s="7" t="s">
        <v>135</v>
      </c>
      <c r="G48" s="7">
        <v>-14.842424242424199</v>
      </c>
      <c r="H48" s="7">
        <v>137861.818181818</v>
      </c>
      <c r="I48" s="7">
        <v>242871.51515151499</v>
      </c>
    </row>
    <row r="49" spans="1:9" x14ac:dyDescent="0.3">
      <c r="A49" s="7" t="s">
        <v>211</v>
      </c>
      <c r="B49" s="7" t="s">
        <v>137</v>
      </c>
      <c r="C49" s="7" t="s">
        <v>138</v>
      </c>
      <c r="D49" s="7" t="s">
        <v>139</v>
      </c>
      <c r="E49" s="7" t="s">
        <v>112</v>
      </c>
      <c r="F49" s="7" t="s">
        <v>140</v>
      </c>
      <c r="G49" s="7">
        <v>-15.4121212121212</v>
      </c>
      <c r="H49" s="7">
        <v>140979.090909091</v>
      </c>
      <c r="I49" s="7">
        <v>248097.57575757499</v>
      </c>
    </row>
    <row r="50" spans="1:9" x14ac:dyDescent="0.3">
      <c r="A50" s="7" t="s">
        <v>212</v>
      </c>
      <c r="B50" s="7" t="s">
        <v>142</v>
      </c>
      <c r="C50" s="7" t="s">
        <v>143</v>
      </c>
      <c r="D50" s="7" t="s">
        <v>105</v>
      </c>
      <c r="E50" s="7" t="s">
        <v>118</v>
      </c>
      <c r="F50" s="7" t="s">
        <v>144</v>
      </c>
      <c r="G50" s="7">
        <v>-15.981818181818101</v>
      </c>
      <c r="H50" s="7">
        <v>144096.363636364</v>
      </c>
      <c r="I50" s="7">
        <v>253323.636363636</v>
      </c>
    </row>
    <row r="51" spans="1:9" x14ac:dyDescent="0.3">
      <c r="A51" s="7" t="s">
        <v>213</v>
      </c>
      <c r="B51" s="7" t="s">
        <v>146</v>
      </c>
      <c r="C51" s="7" t="s">
        <v>147</v>
      </c>
      <c r="D51" s="7" t="s">
        <v>99</v>
      </c>
      <c r="E51" s="7" t="s">
        <v>124</v>
      </c>
      <c r="F51" s="7" t="s">
        <v>148</v>
      </c>
      <c r="G51" s="7">
        <v>-16.551515151515101</v>
      </c>
      <c r="H51" s="7">
        <v>147213.63636363699</v>
      </c>
      <c r="I51" s="7">
        <v>258549.69696969699</v>
      </c>
    </row>
    <row r="52" spans="1:9" x14ac:dyDescent="0.3">
      <c r="A52" s="7" t="s">
        <v>214</v>
      </c>
      <c r="B52" s="7" t="s">
        <v>97</v>
      </c>
      <c r="C52" s="7" t="s">
        <v>98</v>
      </c>
      <c r="D52" s="7" t="s">
        <v>99</v>
      </c>
      <c r="E52" s="7" t="s">
        <v>100</v>
      </c>
      <c r="F52" s="7" t="s">
        <v>101</v>
      </c>
      <c r="G52" s="7">
        <v>-17.1212121212121</v>
      </c>
      <c r="H52" s="7">
        <v>150330.909090909</v>
      </c>
      <c r="I52" s="7">
        <v>263775.75757575699</v>
      </c>
    </row>
    <row r="53" spans="1:9" x14ac:dyDescent="0.3">
      <c r="A53" s="7" t="s">
        <v>219</v>
      </c>
      <c r="B53" s="7" t="s">
        <v>103</v>
      </c>
      <c r="C53" s="7" t="s">
        <v>104</v>
      </c>
      <c r="D53" s="7" t="s">
        <v>105</v>
      </c>
      <c r="E53" s="7" t="s">
        <v>106</v>
      </c>
      <c r="F53" s="7" t="s">
        <v>107</v>
      </c>
      <c r="G53" s="7">
        <v>-17.690909090908999</v>
      </c>
      <c r="H53" s="7">
        <v>153448.181818182</v>
      </c>
      <c r="I53" s="7">
        <v>269001.818181818</v>
      </c>
    </row>
    <row r="54" spans="1:9" x14ac:dyDescent="0.3">
      <c r="A54" s="7" t="s">
        <v>220</v>
      </c>
      <c r="B54" s="7" t="s">
        <v>109</v>
      </c>
      <c r="C54" s="7" t="s">
        <v>110</v>
      </c>
      <c r="D54" s="7" t="s">
        <v>111</v>
      </c>
      <c r="E54" s="7" t="s">
        <v>112</v>
      </c>
      <c r="F54" s="7" t="s">
        <v>113</v>
      </c>
      <c r="G54" s="7">
        <v>-18.260606060606001</v>
      </c>
      <c r="H54" s="7">
        <v>156565.454545455</v>
      </c>
      <c r="I54" s="7">
        <v>274227.87878787803</v>
      </c>
    </row>
    <row r="55" spans="1:9" x14ac:dyDescent="0.3">
      <c r="A55" s="7" t="s">
        <v>221</v>
      </c>
      <c r="B55" s="7" t="s">
        <v>115</v>
      </c>
      <c r="C55" s="7" t="s">
        <v>116</v>
      </c>
      <c r="D55" s="7" t="s">
        <v>117</v>
      </c>
      <c r="E55" s="7" t="s">
        <v>118</v>
      </c>
      <c r="F55" s="7" t="s">
        <v>119</v>
      </c>
      <c r="G55" s="7">
        <v>-18.830303030303</v>
      </c>
      <c r="H55" s="7">
        <v>159682.72727272799</v>
      </c>
      <c r="I55" s="7">
        <v>279453.93939393898</v>
      </c>
    </row>
    <row r="56" spans="1:9" x14ac:dyDescent="0.3">
      <c r="A56" s="7" t="s">
        <v>222</v>
      </c>
      <c r="B56" s="7" t="s">
        <v>121</v>
      </c>
      <c r="C56" s="7" t="s">
        <v>122</v>
      </c>
      <c r="D56" s="7" t="s">
        <v>123</v>
      </c>
      <c r="E56" s="7" t="s">
        <v>124</v>
      </c>
      <c r="F56" s="7" t="s">
        <v>125</v>
      </c>
      <c r="G56" s="7">
        <v>-19.399999999999999</v>
      </c>
      <c r="H56" s="7">
        <v>162800</v>
      </c>
      <c r="I56" s="7">
        <v>284680</v>
      </c>
    </row>
    <row r="57" spans="1:9" x14ac:dyDescent="0.3">
      <c r="A57" s="7" t="s">
        <v>223</v>
      </c>
      <c r="B57" s="7" t="s">
        <v>127</v>
      </c>
      <c r="C57" s="7" t="s">
        <v>128</v>
      </c>
      <c r="D57" s="7" t="s">
        <v>129</v>
      </c>
      <c r="E57" s="7" t="s">
        <v>100</v>
      </c>
      <c r="F57" s="7" t="s">
        <v>130</v>
      </c>
      <c r="G57" s="7">
        <v>-19.969696969696901</v>
      </c>
      <c r="H57" s="7">
        <v>165917.272727273</v>
      </c>
      <c r="I57" s="7">
        <v>289906.06060606003</v>
      </c>
    </row>
    <row r="58" spans="1:9" x14ac:dyDescent="0.3">
      <c r="A58" s="7" t="s">
        <v>224</v>
      </c>
      <c r="B58" s="7" t="s">
        <v>132</v>
      </c>
      <c r="C58" s="7" t="s">
        <v>133</v>
      </c>
      <c r="D58" s="7" t="s">
        <v>134</v>
      </c>
      <c r="E58" s="7" t="s">
        <v>106</v>
      </c>
      <c r="F58" s="7" t="s">
        <v>135</v>
      </c>
      <c r="G58" s="7">
        <v>-20.5393939393939</v>
      </c>
      <c r="H58" s="7">
        <v>169034.54545454599</v>
      </c>
      <c r="I58" s="7">
        <v>295132.12121212098</v>
      </c>
    </row>
    <row r="59" spans="1:9" x14ac:dyDescent="0.3">
      <c r="A59" s="7" t="s">
        <v>225</v>
      </c>
      <c r="B59" s="7" t="s">
        <v>137</v>
      </c>
      <c r="C59" s="7" t="s">
        <v>138</v>
      </c>
      <c r="D59" s="7" t="s">
        <v>139</v>
      </c>
      <c r="E59" s="7" t="s">
        <v>112</v>
      </c>
      <c r="F59" s="7" t="s">
        <v>140</v>
      </c>
      <c r="G59" s="7">
        <v>-21.109090909090899</v>
      </c>
      <c r="H59" s="7">
        <v>172151.818181818</v>
      </c>
      <c r="I59" s="7">
        <v>300358.18181818101</v>
      </c>
    </row>
    <row r="60" spans="1:9" x14ac:dyDescent="0.3">
      <c r="A60" s="7" t="s">
        <v>226</v>
      </c>
      <c r="B60" s="7" t="s">
        <v>142</v>
      </c>
      <c r="C60" s="7" t="s">
        <v>143</v>
      </c>
      <c r="D60" s="7" t="s">
        <v>105</v>
      </c>
      <c r="E60" s="7" t="s">
        <v>118</v>
      </c>
      <c r="F60" s="7" t="s">
        <v>144</v>
      </c>
      <c r="G60" s="7">
        <v>-21.678787878787801</v>
      </c>
      <c r="H60" s="7">
        <v>175269.090909091</v>
      </c>
      <c r="I60" s="7">
        <v>305584.24242424202</v>
      </c>
    </row>
    <row r="61" spans="1:9" x14ac:dyDescent="0.3">
      <c r="A61" s="7" t="s">
        <v>227</v>
      </c>
      <c r="B61" s="7" t="s">
        <v>146</v>
      </c>
      <c r="C61" s="7" t="s">
        <v>147</v>
      </c>
      <c r="D61" s="7" t="s">
        <v>99</v>
      </c>
      <c r="E61" s="7" t="s">
        <v>124</v>
      </c>
      <c r="F61" s="7" t="s">
        <v>148</v>
      </c>
      <c r="G61" s="7">
        <v>-22.2484848484848</v>
      </c>
      <c r="H61" s="7">
        <v>178386.363636364</v>
      </c>
      <c r="I61" s="7">
        <v>310810.30303030298</v>
      </c>
    </row>
    <row r="62" spans="1:9" x14ac:dyDescent="0.3">
      <c r="A62" s="7" t="s">
        <v>215</v>
      </c>
      <c r="B62" s="7" t="s">
        <v>97</v>
      </c>
      <c r="C62" s="7" t="s">
        <v>98</v>
      </c>
      <c r="D62" s="7" t="s">
        <v>99</v>
      </c>
      <c r="E62" s="7" t="s">
        <v>100</v>
      </c>
      <c r="F62" s="7" t="s">
        <v>101</v>
      </c>
      <c r="G62" s="7">
        <v>-22.818181818181799</v>
      </c>
      <c r="H62" s="7">
        <v>181503.63636363699</v>
      </c>
      <c r="I62" s="7">
        <v>316036.36363636301</v>
      </c>
    </row>
    <row r="63" spans="1:9" x14ac:dyDescent="0.3">
      <c r="A63" s="7" t="s">
        <v>228</v>
      </c>
      <c r="B63" s="7" t="s">
        <v>103</v>
      </c>
      <c r="C63" s="7" t="s">
        <v>104</v>
      </c>
      <c r="D63" s="7" t="s">
        <v>105</v>
      </c>
      <c r="E63" s="7" t="s">
        <v>106</v>
      </c>
      <c r="F63" s="7" t="s">
        <v>107</v>
      </c>
      <c r="G63" s="7">
        <v>-23.387878787878702</v>
      </c>
      <c r="H63" s="7">
        <v>184620.909090909</v>
      </c>
      <c r="I63" s="7">
        <v>321262.42424242402</v>
      </c>
    </row>
    <row r="64" spans="1:9" x14ac:dyDescent="0.3">
      <c r="A64" s="7" t="s">
        <v>229</v>
      </c>
      <c r="B64" s="7" t="s">
        <v>109</v>
      </c>
      <c r="C64" s="7" t="s">
        <v>110</v>
      </c>
      <c r="D64" s="7" t="s">
        <v>111</v>
      </c>
      <c r="E64" s="7" t="s">
        <v>112</v>
      </c>
      <c r="F64" s="7" t="s">
        <v>113</v>
      </c>
      <c r="G64" s="7">
        <v>-23.9575757575757</v>
      </c>
      <c r="H64" s="7">
        <v>187738.181818182</v>
      </c>
      <c r="I64" s="7">
        <v>326488.48484848498</v>
      </c>
    </row>
    <row r="65" spans="1:9" x14ac:dyDescent="0.3">
      <c r="A65" s="7" t="s">
        <v>230</v>
      </c>
      <c r="B65" s="7" t="s">
        <v>115</v>
      </c>
      <c r="C65" s="7" t="s">
        <v>116</v>
      </c>
      <c r="D65" s="7" t="s">
        <v>117</v>
      </c>
      <c r="E65" s="7" t="s">
        <v>118</v>
      </c>
      <c r="F65" s="7" t="s">
        <v>119</v>
      </c>
      <c r="G65" s="7">
        <v>-24.527272727272699</v>
      </c>
      <c r="H65" s="7">
        <v>190855.454545455</v>
      </c>
      <c r="I65" s="7">
        <v>331714.545454545</v>
      </c>
    </row>
    <row r="66" spans="1:9" x14ac:dyDescent="0.3">
      <c r="A66" s="7" t="s">
        <v>231</v>
      </c>
      <c r="B66" s="7" t="s">
        <v>121</v>
      </c>
      <c r="C66" s="7" t="s">
        <v>122</v>
      </c>
      <c r="D66" s="7" t="s">
        <v>123</v>
      </c>
      <c r="E66" s="7" t="s">
        <v>124</v>
      </c>
      <c r="F66" s="7" t="s">
        <v>125</v>
      </c>
      <c r="G66" s="7">
        <v>-25.096969696969701</v>
      </c>
      <c r="H66" s="7">
        <v>193972.72727272799</v>
      </c>
      <c r="I66" s="7">
        <v>336940.60606060602</v>
      </c>
    </row>
    <row r="67" spans="1:9" x14ac:dyDescent="0.3">
      <c r="A67" s="7" t="s">
        <v>232</v>
      </c>
      <c r="B67" s="7" t="s">
        <v>127</v>
      </c>
      <c r="C67" s="7" t="s">
        <v>128</v>
      </c>
      <c r="D67" s="7" t="s">
        <v>129</v>
      </c>
      <c r="E67" s="7" t="s">
        <v>100</v>
      </c>
      <c r="F67" s="7" t="s">
        <v>130</v>
      </c>
      <c r="G67" s="7">
        <v>-25.6666666666666</v>
      </c>
      <c r="H67" s="7">
        <v>197090</v>
      </c>
      <c r="I67" s="7">
        <v>342166.66666666599</v>
      </c>
    </row>
    <row r="68" spans="1:9" x14ac:dyDescent="0.3">
      <c r="A68" s="7" t="s">
        <v>233</v>
      </c>
      <c r="B68" s="7" t="s">
        <v>132</v>
      </c>
      <c r="C68" s="7" t="s">
        <v>133</v>
      </c>
      <c r="D68" s="7" t="s">
        <v>134</v>
      </c>
      <c r="E68" s="7" t="s">
        <v>106</v>
      </c>
      <c r="F68" s="7" t="s">
        <v>135</v>
      </c>
      <c r="G68" s="7">
        <v>-26.236363636363599</v>
      </c>
      <c r="H68" s="7">
        <v>200207.272727273</v>
      </c>
      <c r="I68" s="7">
        <v>347392.727272727</v>
      </c>
    </row>
    <row r="69" spans="1:9" x14ac:dyDescent="0.3">
      <c r="A69" s="7" t="s">
        <v>234</v>
      </c>
      <c r="B69" s="7" t="s">
        <v>137</v>
      </c>
      <c r="C69" s="7" t="s">
        <v>138</v>
      </c>
      <c r="D69" s="7" t="s">
        <v>139</v>
      </c>
      <c r="E69" s="7" t="s">
        <v>112</v>
      </c>
      <c r="F69" s="7" t="s">
        <v>140</v>
      </c>
      <c r="G69" s="7">
        <v>-26.806060606060601</v>
      </c>
      <c r="H69" s="7">
        <v>203324.54545454599</v>
      </c>
      <c r="I69" s="7">
        <v>352618.78787878802</v>
      </c>
    </row>
    <row r="70" spans="1:9" x14ac:dyDescent="0.3">
      <c r="A70" s="7" t="s">
        <v>235</v>
      </c>
      <c r="B70" s="7" t="s">
        <v>142</v>
      </c>
      <c r="C70" s="7" t="s">
        <v>143</v>
      </c>
      <c r="D70" s="7" t="s">
        <v>105</v>
      </c>
      <c r="E70" s="7" t="s">
        <v>118</v>
      </c>
      <c r="F70" s="7" t="s">
        <v>144</v>
      </c>
      <c r="G70" s="7">
        <v>-27.3757575757575</v>
      </c>
      <c r="H70" s="7">
        <v>206441.818181818</v>
      </c>
      <c r="I70" s="7">
        <v>357844.84848484799</v>
      </c>
    </row>
    <row r="71" spans="1:9" x14ac:dyDescent="0.3">
      <c r="A71" s="7" t="s">
        <v>236</v>
      </c>
      <c r="B71" s="7" t="s">
        <v>146</v>
      </c>
      <c r="C71" s="7" t="s">
        <v>147</v>
      </c>
      <c r="D71" s="7" t="s">
        <v>99</v>
      </c>
      <c r="E71" s="7" t="s">
        <v>124</v>
      </c>
      <c r="F71" s="7" t="s">
        <v>148</v>
      </c>
      <c r="G71" s="7">
        <v>-27.945454545454499</v>
      </c>
      <c r="H71" s="7">
        <v>209559.090909091</v>
      </c>
      <c r="I71" s="7">
        <v>363070.909090909</v>
      </c>
    </row>
    <row r="72" spans="1:9" x14ac:dyDescent="0.3">
      <c r="A72" s="7" t="s">
        <v>216</v>
      </c>
      <c r="B72" s="7" t="s">
        <v>97</v>
      </c>
      <c r="C72" s="7" t="s">
        <v>98</v>
      </c>
      <c r="D72" s="7" t="s">
        <v>99</v>
      </c>
      <c r="E72" s="7" t="s">
        <v>100</v>
      </c>
      <c r="F72" s="7" t="s">
        <v>101</v>
      </c>
      <c r="G72" s="7">
        <v>-28.515151515151501</v>
      </c>
      <c r="H72" s="7">
        <v>212676.363636364</v>
      </c>
      <c r="I72" s="7">
        <v>368296.96969696903</v>
      </c>
    </row>
    <row r="73" spans="1:9" x14ac:dyDescent="0.3">
      <c r="A73" s="7" t="s">
        <v>237</v>
      </c>
      <c r="B73" s="7" t="s">
        <v>103</v>
      </c>
      <c r="C73" s="7" t="s">
        <v>104</v>
      </c>
      <c r="D73" s="7" t="s">
        <v>105</v>
      </c>
      <c r="E73" s="7" t="s">
        <v>106</v>
      </c>
      <c r="F73" s="7" t="s">
        <v>107</v>
      </c>
      <c r="G73" s="7">
        <v>-29.084848484848401</v>
      </c>
      <c r="H73" s="7">
        <v>215793.63636363699</v>
      </c>
      <c r="I73" s="7">
        <v>373523.03030302998</v>
      </c>
    </row>
    <row r="74" spans="1:9" x14ac:dyDescent="0.3">
      <c r="A74" s="7" t="s">
        <v>238</v>
      </c>
      <c r="B74" s="7" t="s">
        <v>109</v>
      </c>
      <c r="C74" s="7" t="s">
        <v>110</v>
      </c>
      <c r="D74" s="7" t="s">
        <v>111</v>
      </c>
      <c r="E74" s="7" t="s">
        <v>112</v>
      </c>
      <c r="F74" s="7" t="s">
        <v>113</v>
      </c>
      <c r="G74" s="7">
        <v>-29.654545454545399</v>
      </c>
      <c r="H74" s="7">
        <v>218910.909090909</v>
      </c>
      <c r="I74" s="7">
        <v>378749.090909091</v>
      </c>
    </row>
    <row r="75" spans="1:9" x14ac:dyDescent="0.3">
      <c r="A75" s="7" t="s">
        <v>239</v>
      </c>
      <c r="B75" s="7" t="s">
        <v>115</v>
      </c>
      <c r="C75" s="7" t="s">
        <v>116</v>
      </c>
      <c r="D75" s="7" t="s">
        <v>117</v>
      </c>
      <c r="E75" s="7" t="s">
        <v>118</v>
      </c>
      <c r="F75" s="7" t="s">
        <v>119</v>
      </c>
      <c r="G75" s="7">
        <v>-30.224242424242401</v>
      </c>
      <c r="H75" s="7">
        <v>222028.181818182</v>
      </c>
      <c r="I75" s="7">
        <v>383975.15151515102</v>
      </c>
    </row>
    <row r="76" spans="1:9" x14ac:dyDescent="0.3">
      <c r="A76" s="7" t="s">
        <v>240</v>
      </c>
      <c r="B76" s="7" t="s">
        <v>121</v>
      </c>
      <c r="C76" s="7" t="s">
        <v>122</v>
      </c>
      <c r="D76" s="7" t="s">
        <v>123</v>
      </c>
      <c r="E76" s="7" t="s">
        <v>124</v>
      </c>
      <c r="F76" s="7" t="s">
        <v>125</v>
      </c>
      <c r="G76" s="7">
        <v>-30.793939393939301</v>
      </c>
      <c r="H76" s="7">
        <v>225145.454545455</v>
      </c>
      <c r="I76" s="7">
        <v>389201.21212121198</v>
      </c>
    </row>
    <row r="77" spans="1:9" x14ac:dyDescent="0.3">
      <c r="A77" s="7" t="s">
        <v>241</v>
      </c>
      <c r="B77" s="7" t="s">
        <v>127</v>
      </c>
      <c r="C77" s="7" t="s">
        <v>128</v>
      </c>
      <c r="D77" s="7" t="s">
        <v>129</v>
      </c>
      <c r="E77" s="7" t="s">
        <v>100</v>
      </c>
      <c r="F77" s="7" t="s">
        <v>130</v>
      </c>
      <c r="G77" s="7">
        <v>-31.363636363636299</v>
      </c>
      <c r="H77" s="7">
        <v>228262.72727272799</v>
      </c>
      <c r="I77" s="7">
        <v>394427.27272727201</v>
      </c>
    </row>
    <row r="78" spans="1:9" x14ac:dyDescent="0.3">
      <c r="A78" s="7" t="s">
        <v>242</v>
      </c>
      <c r="B78" s="7" t="s">
        <v>132</v>
      </c>
      <c r="C78" s="7" t="s">
        <v>133</v>
      </c>
      <c r="D78" s="7" t="s">
        <v>134</v>
      </c>
      <c r="E78" s="7" t="s">
        <v>106</v>
      </c>
      <c r="F78" s="7" t="s">
        <v>135</v>
      </c>
      <c r="G78" s="7">
        <v>-31.933333333333302</v>
      </c>
      <c r="H78" s="7">
        <v>231380</v>
      </c>
      <c r="I78" s="7">
        <v>399653.33333333302</v>
      </c>
    </row>
    <row r="79" spans="1:9" x14ac:dyDescent="0.3">
      <c r="A79" s="7" t="s">
        <v>243</v>
      </c>
      <c r="B79" s="7" t="s">
        <v>137</v>
      </c>
      <c r="C79" s="7" t="s">
        <v>138</v>
      </c>
      <c r="D79" s="7" t="s">
        <v>139</v>
      </c>
      <c r="E79" s="7" t="s">
        <v>112</v>
      </c>
      <c r="F79" s="7" t="s">
        <v>140</v>
      </c>
      <c r="G79" s="7">
        <v>-32.5030303030303</v>
      </c>
      <c r="H79" s="7">
        <v>234497.272727273</v>
      </c>
      <c r="I79" s="7">
        <v>404879.39393939398</v>
      </c>
    </row>
    <row r="80" spans="1:9" x14ac:dyDescent="0.3">
      <c r="A80" s="7" t="s">
        <v>244</v>
      </c>
      <c r="B80" s="7" t="s">
        <v>142</v>
      </c>
      <c r="C80" s="7" t="s">
        <v>143</v>
      </c>
      <c r="D80" s="7" t="s">
        <v>105</v>
      </c>
      <c r="E80" s="7" t="s">
        <v>118</v>
      </c>
      <c r="F80" s="7" t="s">
        <v>144</v>
      </c>
      <c r="G80" s="7">
        <v>-33.072727272727199</v>
      </c>
      <c r="H80" s="7">
        <v>237614.54545454599</v>
      </c>
      <c r="I80" s="7">
        <v>410105.45454545401</v>
      </c>
    </row>
    <row r="81" spans="1:9" x14ac:dyDescent="0.3">
      <c r="A81" s="7" t="s">
        <v>245</v>
      </c>
      <c r="B81" s="7" t="s">
        <v>146</v>
      </c>
      <c r="C81" s="7" t="s">
        <v>147</v>
      </c>
      <c r="D81" s="7" t="s">
        <v>99</v>
      </c>
      <c r="E81" s="7" t="s">
        <v>124</v>
      </c>
      <c r="F81" s="7" t="s">
        <v>148</v>
      </c>
      <c r="G81" s="7">
        <v>-33.642424242424198</v>
      </c>
      <c r="H81" s="7">
        <v>240731.818181818</v>
      </c>
      <c r="I81" s="7">
        <v>415331.51515151502</v>
      </c>
    </row>
    <row r="82" spans="1:9" x14ac:dyDescent="0.3">
      <c r="A82" s="7" t="s">
        <v>217</v>
      </c>
      <c r="B82" s="7" t="s">
        <v>97</v>
      </c>
      <c r="C82" s="7" t="s">
        <v>98</v>
      </c>
      <c r="D82" s="7" t="s">
        <v>99</v>
      </c>
      <c r="E82" s="7" t="s">
        <v>100</v>
      </c>
      <c r="F82" s="7" t="s">
        <v>101</v>
      </c>
      <c r="G82" s="7">
        <v>-34.212121212121197</v>
      </c>
      <c r="H82" s="7">
        <v>243849.090909091</v>
      </c>
      <c r="I82" s="7">
        <v>420557.57575757499</v>
      </c>
    </row>
    <row r="83" spans="1:9" x14ac:dyDescent="0.3">
      <c r="A83" s="7" t="s">
        <v>246</v>
      </c>
      <c r="B83" s="7" t="s">
        <v>103</v>
      </c>
      <c r="C83" s="7" t="s">
        <v>104</v>
      </c>
      <c r="D83" s="7" t="s">
        <v>105</v>
      </c>
      <c r="E83" s="7" t="s">
        <v>106</v>
      </c>
      <c r="F83" s="7" t="s">
        <v>107</v>
      </c>
      <c r="G83" s="7">
        <v>-34.781818181818103</v>
      </c>
      <c r="H83" s="7">
        <v>246966.363636364</v>
      </c>
      <c r="I83" s="7">
        <v>425783.636363636</v>
      </c>
    </row>
    <row r="84" spans="1:9" x14ac:dyDescent="0.3">
      <c r="A84" s="7" t="s">
        <v>247</v>
      </c>
      <c r="B84" s="7" t="s">
        <v>109</v>
      </c>
      <c r="C84" s="7" t="s">
        <v>110</v>
      </c>
      <c r="D84" s="7" t="s">
        <v>111</v>
      </c>
      <c r="E84" s="7" t="s">
        <v>112</v>
      </c>
      <c r="F84" s="7" t="s">
        <v>113</v>
      </c>
      <c r="G84" s="7">
        <v>-35.351515151515102</v>
      </c>
      <c r="H84" s="7">
        <v>250083.63636363699</v>
      </c>
      <c r="I84" s="7">
        <v>431009.69696969702</v>
      </c>
    </row>
    <row r="85" spans="1:9" x14ac:dyDescent="0.3">
      <c r="A85" s="7" t="s">
        <v>248</v>
      </c>
      <c r="B85" s="7" t="s">
        <v>115</v>
      </c>
      <c r="C85" s="7" t="s">
        <v>116</v>
      </c>
      <c r="D85" s="7" t="s">
        <v>117</v>
      </c>
      <c r="E85" s="7" t="s">
        <v>118</v>
      </c>
      <c r="F85" s="7" t="s">
        <v>119</v>
      </c>
      <c r="G85" s="7">
        <v>-35.9212121212121</v>
      </c>
      <c r="H85" s="7">
        <v>253200.909090909</v>
      </c>
      <c r="I85" s="7">
        <v>436235.75757575699</v>
      </c>
    </row>
    <row r="86" spans="1:9" x14ac:dyDescent="0.3">
      <c r="A86" s="7" t="s">
        <v>249</v>
      </c>
      <c r="B86" s="7" t="s">
        <v>121</v>
      </c>
      <c r="C86" s="7" t="s">
        <v>122</v>
      </c>
      <c r="D86" s="7" t="s">
        <v>123</v>
      </c>
      <c r="E86" s="7" t="s">
        <v>124</v>
      </c>
      <c r="F86" s="7" t="s">
        <v>125</v>
      </c>
      <c r="G86" s="7">
        <v>-36.490909090909</v>
      </c>
      <c r="H86" s="7">
        <v>256318.181818182</v>
      </c>
      <c r="I86" s="7">
        <v>441461.818181818</v>
      </c>
    </row>
    <row r="87" spans="1:9" x14ac:dyDescent="0.3">
      <c r="A87" s="7" t="s">
        <v>250</v>
      </c>
      <c r="B87" s="7" t="s">
        <v>127</v>
      </c>
      <c r="C87" s="7" t="s">
        <v>128</v>
      </c>
      <c r="D87" s="7" t="s">
        <v>129</v>
      </c>
      <c r="E87" s="7" t="s">
        <v>100</v>
      </c>
      <c r="F87" s="7" t="s">
        <v>130</v>
      </c>
      <c r="G87" s="7">
        <v>-37.060606060605998</v>
      </c>
      <c r="H87" s="7">
        <v>259435.454545455</v>
      </c>
      <c r="I87" s="7">
        <v>446687.87878787803</v>
      </c>
    </row>
    <row r="88" spans="1:9" x14ac:dyDescent="0.3">
      <c r="A88" s="7" t="s">
        <v>251</v>
      </c>
      <c r="B88" s="7" t="s">
        <v>132</v>
      </c>
      <c r="C88" s="7" t="s">
        <v>133</v>
      </c>
      <c r="D88" s="7" t="s">
        <v>134</v>
      </c>
      <c r="E88" s="7" t="s">
        <v>106</v>
      </c>
      <c r="F88" s="7" t="s">
        <v>135</v>
      </c>
      <c r="G88" s="7">
        <v>-37.630303030302997</v>
      </c>
      <c r="H88" s="7">
        <v>262552.72727272799</v>
      </c>
      <c r="I88" s="7">
        <v>451913.93939393898</v>
      </c>
    </row>
    <row r="89" spans="1:9" x14ac:dyDescent="0.3">
      <c r="A89" s="7" t="s">
        <v>252</v>
      </c>
      <c r="B89" s="7" t="s">
        <v>137</v>
      </c>
      <c r="C89" s="7" t="s">
        <v>138</v>
      </c>
      <c r="D89" s="7" t="s">
        <v>139</v>
      </c>
      <c r="E89" s="7" t="s">
        <v>112</v>
      </c>
      <c r="F89" s="7" t="s">
        <v>140</v>
      </c>
      <c r="G89" s="7">
        <v>-38.200000000000003</v>
      </c>
      <c r="H89" s="7">
        <v>265670</v>
      </c>
      <c r="I89" s="7">
        <v>457140</v>
      </c>
    </row>
    <row r="90" spans="1:9" x14ac:dyDescent="0.3">
      <c r="A90" s="7" t="s">
        <v>253</v>
      </c>
      <c r="B90" s="7" t="s">
        <v>142</v>
      </c>
      <c r="C90" s="7" t="s">
        <v>143</v>
      </c>
      <c r="D90" s="7" t="s">
        <v>105</v>
      </c>
      <c r="E90" s="7" t="s">
        <v>118</v>
      </c>
      <c r="F90" s="7" t="s">
        <v>144</v>
      </c>
      <c r="G90" s="7">
        <v>-38.769696969696902</v>
      </c>
      <c r="H90" s="7">
        <v>268787.272727273</v>
      </c>
      <c r="I90" s="7">
        <v>462366.06060606003</v>
      </c>
    </row>
    <row r="91" spans="1:9" x14ac:dyDescent="0.3">
      <c r="A91" s="7" t="s">
        <v>254</v>
      </c>
      <c r="B91" s="7" t="s">
        <v>146</v>
      </c>
      <c r="C91" s="7" t="s">
        <v>147</v>
      </c>
      <c r="D91" s="7" t="s">
        <v>99</v>
      </c>
      <c r="E91" s="7" t="s">
        <v>124</v>
      </c>
      <c r="F91" s="7" t="s">
        <v>148</v>
      </c>
      <c r="G91" s="7">
        <v>-39.339393939393901</v>
      </c>
      <c r="H91" s="7">
        <v>271904.54545454599</v>
      </c>
      <c r="I91" s="7">
        <v>467592.12121212098</v>
      </c>
    </row>
    <row r="92" spans="1:9" x14ac:dyDescent="0.3">
      <c r="A92" s="7" t="s">
        <v>218</v>
      </c>
      <c r="B92" s="7" t="s">
        <v>97</v>
      </c>
      <c r="C92" s="7" t="s">
        <v>98</v>
      </c>
      <c r="D92" s="7" t="s">
        <v>99</v>
      </c>
      <c r="E92" s="7" t="s">
        <v>100</v>
      </c>
      <c r="F92" s="7" t="s">
        <v>101</v>
      </c>
      <c r="G92" s="7">
        <v>-39.909090909090899</v>
      </c>
      <c r="H92" s="7">
        <v>275021.818181818</v>
      </c>
      <c r="I92" s="7">
        <v>472818.18181818101</v>
      </c>
    </row>
    <row r="93" spans="1:9" x14ac:dyDescent="0.3">
      <c r="A93" s="7" t="s">
        <v>255</v>
      </c>
      <c r="B93" s="7" t="s">
        <v>103</v>
      </c>
      <c r="C93" s="7" t="s">
        <v>104</v>
      </c>
      <c r="D93" s="7" t="s">
        <v>105</v>
      </c>
      <c r="E93" s="7" t="s">
        <v>106</v>
      </c>
      <c r="F93" s="7" t="s">
        <v>107</v>
      </c>
      <c r="G93" s="7">
        <v>-40.478787878787799</v>
      </c>
      <c r="H93" s="7">
        <v>278139.090909091</v>
      </c>
      <c r="I93" s="7">
        <v>478044.24242424202</v>
      </c>
    </row>
    <row r="94" spans="1:9" x14ac:dyDescent="0.3">
      <c r="A94" s="7" t="s">
        <v>256</v>
      </c>
      <c r="B94" s="7" t="s">
        <v>109</v>
      </c>
      <c r="C94" s="7" t="s">
        <v>110</v>
      </c>
      <c r="D94" s="7" t="s">
        <v>111</v>
      </c>
      <c r="E94" s="7" t="s">
        <v>112</v>
      </c>
      <c r="F94" s="7" t="s">
        <v>113</v>
      </c>
      <c r="G94" s="7">
        <v>-41.048484848484797</v>
      </c>
      <c r="H94" s="7">
        <v>281256.363636364</v>
      </c>
      <c r="I94" s="7">
        <v>483270.30303030298</v>
      </c>
    </row>
    <row r="95" spans="1:9" x14ac:dyDescent="0.3">
      <c r="A95" s="7" t="s">
        <v>257</v>
      </c>
      <c r="B95" s="7" t="s">
        <v>115</v>
      </c>
      <c r="C95" s="7" t="s">
        <v>116</v>
      </c>
      <c r="D95" s="7" t="s">
        <v>117</v>
      </c>
      <c r="E95" s="7" t="s">
        <v>118</v>
      </c>
      <c r="F95" s="7" t="s">
        <v>119</v>
      </c>
      <c r="G95" s="7">
        <v>-41.618181818181803</v>
      </c>
      <c r="H95" s="7">
        <v>284373.63636363699</v>
      </c>
      <c r="I95" s="7">
        <v>488496.36363636301</v>
      </c>
    </row>
    <row r="96" spans="1:9" x14ac:dyDescent="0.3">
      <c r="A96" s="7" t="s">
        <v>258</v>
      </c>
      <c r="B96" s="7" t="s">
        <v>121</v>
      </c>
      <c r="C96" s="7" t="s">
        <v>122</v>
      </c>
      <c r="D96" s="7" t="s">
        <v>123</v>
      </c>
      <c r="E96" s="7" t="s">
        <v>124</v>
      </c>
      <c r="F96" s="7" t="s">
        <v>125</v>
      </c>
      <c r="G96" s="7">
        <v>-42.187878787878702</v>
      </c>
      <c r="H96" s="7">
        <v>287490.909090909</v>
      </c>
      <c r="I96" s="7">
        <v>493722.42424242402</v>
      </c>
    </row>
    <row r="97" spans="1:9" x14ac:dyDescent="0.3">
      <c r="A97" s="7" t="s">
        <v>259</v>
      </c>
      <c r="B97" s="7" t="s">
        <v>127</v>
      </c>
      <c r="C97" s="7" t="s">
        <v>128</v>
      </c>
      <c r="D97" s="7" t="s">
        <v>129</v>
      </c>
      <c r="E97" s="7" t="s">
        <v>100</v>
      </c>
      <c r="F97" s="7" t="s">
        <v>130</v>
      </c>
      <c r="G97" s="7">
        <v>-42.757575757575701</v>
      </c>
      <c r="H97" s="7">
        <v>290608.181818182</v>
      </c>
      <c r="I97" s="7">
        <v>498948.48484848498</v>
      </c>
    </row>
    <row r="98" spans="1:9" x14ac:dyDescent="0.3">
      <c r="A98" s="7" t="s">
        <v>260</v>
      </c>
      <c r="B98" s="7" t="s">
        <v>132</v>
      </c>
      <c r="C98" s="7" t="s">
        <v>133</v>
      </c>
      <c r="D98" s="7" t="s">
        <v>134</v>
      </c>
      <c r="E98" s="7" t="s">
        <v>106</v>
      </c>
      <c r="F98" s="7" t="s">
        <v>135</v>
      </c>
      <c r="G98" s="7">
        <v>-43.3272727272727</v>
      </c>
      <c r="H98" s="7">
        <v>293725.454545455</v>
      </c>
      <c r="I98" s="7">
        <v>504174.545454545</v>
      </c>
    </row>
    <row r="99" spans="1:9" x14ac:dyDescent="0.3">
      <c r="A99" s="7" t="s">
        <v>261</v>
      </c>
      <c r="B99" s="7" t="s">
        <v>137</v>
      </c>
      <c r="C99" s="7" t="s">
        <v>138</v>
      </c>
      <c r="D99" s="7" t="s">
        <v>139</v>
      </c>
      <c r="E99" s="7" t="s">
        <v>112</v>
      </c>
      <c r="F99" s="7" t="s">
        <v>140</v>
      </c>
      <c r="G99" s="7">
        <v>-43.896969696969698</v>
      </c>
      <c r="H99" s="7">
        <v>296842.72727272799</v>
      </c>
      <c r="I99" s="7">
        <v>509400.60606060602</v>
      </c>
    </row>
    <row r="100" spans="1:9" x14ac:dyDescent="0.3">
      <c r="A100" s="7" t="s">
        <v>262</v>
      </c>
      <c r="B100" s="7" t="s">
        <v>142</v>
      </c>
      <c r="C100" s="7" t="s">
        <v>143</v>
      </c>
      <c r="D100" s="7" t="s">
        <v>105</v>
      </c>
      <c r="E100" s="7" t="s">
        <v>118</v>
      </c>
      <c r="F100" s="7" t="s">
        <v>144</v>
      </c>
      <c r="G100" s="7">
        <v>-44.466666666666598</v>
      </c>
      <c r="H100" s="7">
        <v>299960</v>
      </c>
      <c r="I100" s="7">
        <v>514626.66666666599</v>
      </c>
    </row>
    <row r="101" spans="1:9" x14ac:dyDescent="0.3">
      <c r="A101" s="7" t="s">
        <v>263</v>
      </c>
      <c r="B101" s="7" t="s">
        <v>146</v>
      </c>
      <c r="C101" s="7" t="s">
        <v>147</v>
      </c>
      <c r="D101" s="7" t="s">
        <v>99</v>
      </c>
      <c r="E101" s="7" t="s">
        <v>124</v>
      </c>
      <c r="F101" s="7" t="s">
        <v>148</v>
      </c>
      <c r="G101" s="7">
        <v>-45.036363636363603</v>
      </c>
      <c r="H101" s="7">
        <v>303077.272727273</v>
      </c>
      <c r="I101" s="7">
        <v>519852.727272727</v>
      </c>
    </row>
    <row r="102" spans="1:9" x14ac:dyDescent="0.3">
      <c r="A102" s="7" t="s">
        <v>264</v>
      </c>
      <c r="B102" s="7" t="s">
        <v>97</v>
      </c>
      <c r="C102" s="7" t="s">
        <v>98</v>
      </c>
      <c r="D102" s="7" t="s">
        <v>99</v>
      </c>
      <c r="E102" s="7" t="s">
        <v>100</v>
      </c>
      <c r="F102" s="7" t="s">
        <v>101</v>
      </c>
      <c r="G102" s="7">
        <v>-45.606060606060602</v>
      </c>
      <c r="H102" s="7">
        <v>306194.54545454599</v>
      </c>
      <c r="I102" s="7">
        <v>525078.78787878703</v>
      </c>
    </row>
    <row r="103" spans="1:9" x14ac:dyDescent="0.3">
      <c r="A103" s="7" t="s">
        <v>265</v>
      </c>
      <c r="B103" s="7" t="s">
        <v>103</v>
      </c>
      <c r="C103" s="7" t="s">
        <v>104</v>
      </c>
      <c r="D103" s="7" t="s">
        <v>105</v>
      </c>
      <c r="E103" s="7" t="s">
        <v>106</v>
      </c>
      <c r="F103" s="7" t="s">
        <v>107</v>
      </c>
      <c r="G103" s="7">
        <v>-46.175757575757501</v>
      </c>
      <c r="H103" s="7">
        <v>309311.818181818</v>
      </c>
      <c r="I103" s="7">
        <v>530304.84848484804</v>
      </c>
    </row>
    <row r="104" spans="1:9" x14ac:dyDescent="0.3">
      <c r="A104" s="7" t="s">
        <v>266</v>
      </c>
      <c r="B104" s="7" t="s">
        <v>109</v>
      </c>
      <c r="C104" s="7" t="s">
        <v>110</v>
      </c>
      <c r="D104" s="7" t="s">
        <v>111</v>
      </c>
      <c r="E104" s="7" t="s">
        <v>112</v>
      </c>
      <c r="F104" s="7" t="s">
        <v>113</v>
      </c>
      <c r="G104" s="7">
        <v>-46.7454545454545</v>
      </c>
      <c r="H104" s="7">
        <v>312429.090909091</v>
      </c>
      <c r="I104" s="7">
        <v>535530.90909090894</v>
      </c>
    </row>
    <row r="105" spans="1:9" x14ac:dyDescent="0.3">
      <c r="A105" s="7" t="s">
        <v>267</v>
      </c>
      <c r="B105" s="7" t="s">
        <v>115</v>
      </c>
      <c r="C105" s="7" t="s">
        <v>116</v>
      </c>
      <c r="D105" s="7" t="s">
        <v>117</v>
      </c>
      <c r="E105" s="7" t="s">
        <v>118</v>
      </c>
      <c r="F105" s="7" t="s">
        <v>119</v>
      </c>
      <c r="G105" s="7">
        <v>-47.315151515151499</v>
      </c>
      <c r="H105" s="7">
        <v>315546.363636364</v>
      </c>
      <c r="I105" s="7">
        <v>540756.96969696903</v>
      </c>
    </row>
    <row r="106" spans="1:9" x14ac:dyDescent="0.3">
      <c r="A106" s="7" t="s">
        <v>268</v>
      </c>
      <c r="B106" s="7" t="s">
        <v>121</v>
      </c>
      <c r="C106" s="7" t="s">
        <v>122</v>
      </c>
      <c r="D106" s="7" t="s">
        <v>123</v>
      </c>
      <c r="E106" s="7" t="s">
        <v>124</v>
      </c>
      <c r="F106" s="7" t="s">
        <v>125</v>
      </c>
      <c r="G106" s="7">
        <v>-47.884848484848398</v>
      </c>
      <c r="H106" s="7">
        <v>318663.63636363699</v>
      </c>
      <c r="I106" s="7">
        <v>545983.03030303004</v>
      </c>
    </row>
    <row r="107" spans="1:9" x14ac:dyDescent="0.3">
      <c r="A107" s="7" t="s">
        <v>269</v>
      </c>
      <c r="B107" s="7" t="s">
        <v>127</v>
      </c>
      <c r="C107" s="7" t="s">
        <v>128</v>
      </c>
      <c r="D107" s="7" t="s">
        <v>129</v>
      </c>
      <c r="E107" s="7" t="s">
        <v>100</v>
      </c>
      <c r="F107" s="7" t="s">
        <v>130</v>
      </c>
      <c r="G107" s="7">
        <v>-48.454545454545404</v>
      </c>
      <c r="H107" s="7">
        <v>321780.909090909</v>
      </c>
      <c r="I107" s="7">
        <v>551209.09090909106</v>
      </c>
    </row>
    <row r="108" spans="1:9" x14ac:dyDescent="0.3">
      <c r="A108" s="7" t="s">
        <v>270</v>
      </c>
      <c r="B108" s="7" t="s">
        <v>132</v>
      </c>
      <c r="C108" s="7" t="s">
        <v>133</v>
      </c>
      <c r="D108" s="7" t="s">
        <v>134</v>
      </c>
      <c r="E108" s="7" t="s">
        <v>106</v>
      </c>
      <c r="F108" s="7" t="s">
        <v>135</v>
      </c>
      <c r="G108" s="7">
        <v>-49.024242424242402</v>
      </c>
      <c r="H108" s="7">
        <v>324898.181818182</v>
      </c>
      <c r="I108" s="7">
        <v>556435.15151515102</v>
      </c>
    </row>
    <row r="109" spans="1:9" x14ac:dyDescent="0.3">
      <c r="A109" s="7" t="s">
        <v>271</v>
      </c>
      <c r="B109" s="7" t="s">
        <v>137</v>
      </c>
      <c r="C109" s="7" t="s">
        <v>138</v>
      </c>
      <c r="D109" s="7" t="s">
        <v>139</v>
      </c>
      <c r="E109" s="7" t="s">
        <v>112</v>
      </c>
      <c r="F109" s="7" t="s">
        <v>140</v>
      </c>
      <c r="G109" s="7">
        <v>-49.593939393939301</v>
      </c>
      <c r="H109" s="7">
        <v>328015.454545455</v>
      </c>
      <c r="I109" s="7">
        <v>561661.21212121204</v>
      </c>
    </row>
    <row r="110" spans="1:9" x14ac:dyDescent="0.3">
      <c r="A110" s="7" t="s">
        <v>272</v>
      </c>
      <c r="B110" s="7" t="s">
        <v>142</v>
      </c>
      <c r="C110" s="7" t="s">
        <v>143</v>
      </c>
      <c r="D110" s="7" t="s">
        <v>105</v>
      </c>
      <c r="E110" s="7" t="s">
        <v>118</v>
      </c>
      <c r="F110" s="7" t="s">
        <v>144</v>
      </c>
      <c r="G110" s="7">
        <v>-50.1636363636363</v>
      </c>
      <c r="H110" s="7">
        <v>331132.72727272799</v>
      </c>
      <c r="I110" s="7">
        <v>566887.27272727201</v>
      </c>
    </row>
    <row r="111" spans="1:9" x14ac:dyDescent="0.3">
      <c r="A111" s="7" t="s">
        <v>273</v>
      </c>
      <c r="B111" s="7" t="s">
        <v>146</v>
      </c>
      <c r="C111" s="7" t="s">
        <v>147</v>
      </c>
      <c r="D111" s="7" t="s">
        <v>99</v>
      </c>
      <c r="E111" s="7" t="s">
        <v>124</v>
      </c>
      <c r="F111" s="7" t="s">
        <v>148</v>
      </c>
      <c r="G111" s="7">
        <v>-50.733333333333299</v>
      </c>
      <c r="H111" s="7">
        <v>334250</v>
      </c>
      <c r="I111" s="7">
        <v>572113.33333333302</v>
      </c>
    </row>
    <row r="112" spans="1:9" x14ac:dyDescent="0.3">
      <c r="A112" s="7" t="s">
        <v>274</v>
      </c>
      <c r="B112" s="7" t="s">
        <v>97</v>
      </c>
      <c r="C112" s="7" t="s">
        <v>98</v>
      </c>
      <c r="D112" s="7" t="s">
        <v>99</v>
      </c>
      <c r="E112" s="7" t="s">
        <v>100</v>
      </c>
      <c r="F112" s="7" t="s">
        <v>101</v>
      </c>
      <c r="G112" s="7">
        <v>-51.303030303030297</v>
      </c>
      <c r="H112" s="7">
        <v>337367.272727273</v>
      </c>
      <c r="I112" s="7">
        <v>577339.39393939404</v>
      </c>
    </row>
    <row r="113" spans="1:9" x14ac:dyDescent="0.3">
      <c r="A113" s="7" t="s">
        <v>275</v>
      </c>
      <c r="B113" s="7" t="s">
        <v>103</v>
      </c>
      <c r="C113" s="7" t="s">
        <v>104</v>
      </c>
      <c r="D113" s="7" t="s">
        <v>105</v>
      </c>
      <c r="E113" s="7" t="s">
        <v>106</v>
      </c>
      <c r="F113" s="7" t="s">
        <v>107</v>
      </c>
      <c r="G113" s="7">
        <v>-51.872727272727197</v>
      </c>
      <c r="H113" s="7">
        <v>340484.54545454599</v>
      </c>
      <c r="I113" s="7">
        <v>582565.45454545401</v>
      </c>
    </row>
    <row r="114" spans="1:9" x14ac:dyDescent="0.3">
      <c r="A114" s="7" t="s">
        <v>276</v>
      </c>
      <c r="B114" s="7" t="s">
        <v>109</v>
      </c>
      <c r="C114" s="7" t="s">
        <v>110</v>
      </c>
      <c r="D114" s="7" t="s">
        <v>111</v>
      </c>
      <c r="E114" s="7" t="s">
        <v>112</v>
      </c>
      <c r="F114" s="7" t="s">
        <v>113</v>
      </c>
      <c r="G114" s="7">
        <v>-52.442424242424202</v>
      </c>
      <c r="H114" s="7">
        <v>343601.818181818</v>
      </c>
      <c r="I114" s="7">
        <v>587791.51515151502</v>
      </c>
    </row>
    <row r="115" spans="1:9" x14ac:dyDescent="0.3">
      <c r="A115" s="7" t="s">
        <v>277</v>
      </c>
      <c r="B115" s="7" t="s">
        <v>115</v>
      </c>
      <c r="C115" s="7" t="s">
        <v>116</v>
      </c>
      <c r="D115" s="7" t="s">
        <v>117</v>
      </c>
      <c r="E115" s="7" t="s">
        <v>118</v>
      </c>
      <c r="F115" s="7" t="s">
        <v>119</v>
      </c>
      <c r="G115" s="7">
        <v>-53.012121212121201</v>
      </c>
      <c r="H115" s="7">
        <v>346719.090909091</v>
      </c>
      <c r="I115" s="7">
        <v>593017.57575757499</v>
      </c>
    </row>
    <row r="116" spans="1:9" x14ac:dyDescent="0.3">
      <c r="A116" s="7" t="s">
        <v>278</v>
      </c>
      <c r="B116" s="7" t="s">
        <v>121</v>
      </c>
      <c r="C116" s="7" t="s">
        <v>122</v>
      </c>
      <c r="D116" s="7" t="s">
        <v>123</v>
      </c>
      <c r="E116" s="7" t="s">
        <v>124</v>
      </c>
      <c r="F116" s="7" t="s">
        <v>125</v>
      </c>
      <c r="G116" s="7">
        <v>-53.5818181818181</v>
      </c>
      <c r="H116" s="7">
        <v>349836.363636364</v>
      </c>
      <c r="I116" s="7">
        <v>598243.636363636</v>
      </c>
    </row>
    <row r="117" spans="1:9" x14ac:dyDescent="0.3">
      <c r="A117" s="7" t="s">
        <v>279</v>
      </c>
      <c r="B117" s="7" t="s">
        <v>127</v>
      </c>
      <c r="C117" s="7" t="s">
        <v>128</v>
      </c>
      <c r="D117" s="7" t="s">
        <v>129</v>
      </c>
      <c r="E117" s="7" t="s">
        <v>100</v>
      </c>
      <c r="F117" s="7" t="s">
        <v>130</v>
      </c>
      <c r="G117" s="7">
        <v>-54.151515151515099</v>
      </c>
      <c r="H117" s="7">
        <v>352953.63636363699</v>
      </c>
      <c r="I117" s="7">
        <v>603469.69696969702</v>
      </c>
    </row>
    <row r="118" spans="1:9" x14ac:dyDescent="0.3">
      <c r="A118" s="7" t="s">
        <v>280</v>
      </c>
      <c r="B118" s="7" t="s">
        <v>132</v>
      </c>
      <c r="C118" s="7" t="s">
        <v>133</v>
      </c>
      <c r="D118" s="7" t="s">
        <v>134</v>
      </c>
      <c r="E118" s="7" t="s">
        <v>106</v>
      </c>
      <c r="F118" s="7" t="s">
        <v>135</v>
      </c>
      <c r="G118" s="7">
        <v>-54.721212121212098</v>
      </c>
      <c r="H118" s="7">
        <v>356070.909090909</v>
      </c>
      <c r="I118" s="7">
        <v>608695.75757575699</v>
      </c>
    </row>
    <row r="119" spans="1:9" x14ac:dyDescent="0.3">
      <c r="A119" s="7" t="s">
        <v>281</v>
      </c>
      <c r="B119" s="7" t="s">
        <v>137</v>
      </c>
      <c r="C119" s="7" t="s">
        <v>138</v>
      </c>
      <c r="D119" s="7" t="s">
        <v>139</v>
      </c>
      <c r="E119" s="7" t="s">
        <v>112</v>
      </c>
      <c r="F119" s="7" t="s">
        <v>140</v>
      </c>
      <c r="G119" s="7">
        <v>-55.290909090908997</v>
      </c>
      <c r="H119" s="7">
        <v>359188.181818182</v>
      </c>
      <c r="I119" s="7">
        <v>613921.818181818</v>
      </c>
    </row>
    <row r="120" spans="1:9" x14ac:dyDescent="0.3">
      <c r="A120" s="7" t="s">
        <v>282</v>
      </c>
      <c r="B120" s="7" t="s">
        <v>142</v>
      </c>
      <c r="C120" s="7" t="s">
        <v>143</v>
      </c>
      <c r="D120" s="7" t="s">
        <v>105</v>
      </c>
      <c r="E120" s="7" t="s">
        <v>118</v>
      </c>
      <c r="F120" s="7" t="s">
        <v>144</v>
      </c>
      <c r="G120" s="7">
        <v>-55.860606060606003</v>
      </c>
      <c r="H120" s="7">
        <v>362305.454545455</v>
      </c>
      <c r="I120" s="7">
        <v>619147.87878787797</v>
      </c>
    </row>
    <row r="121" spans="1:9" x14ac:dyDescent="0.3">
      <c r="A121" s="7" t="s">
        <v>283</v>
      </c>
      <c r="B121" s="7" t="s">
        <v>146</v>
      </c>
      <c r="C121" s="7" t="s">
        <v>147</v>
      </c>
      <c r="D121" s="7" t="s">
        <v>99</v>
      </c>
      <c r="E121" s="7" t="s">
        <v>124</v>
      </c>
      <c r="F121" s="7" t="s">
        <v>148</v>
      </c>
      <c r="G121" s="7">
        <v>-56.430303030303001</v>
      </c>
      <c r="H121" s="7">
        <v>365422.72727272799</v>
      </c>
      <c r="I121" s="7">
        <v>624373.93939393898</v>
      </c>
    </row>
    <row r="122" spans="1:9" x14ac:dyDescent="0.3">
      <c r="A122" s="7" t="s">
        <v>284</v>
      </c>
      <c r="B122" s="7" t="s">
        <v>97</v>
      </c>
      <c r="C122" s="7" t="s">
        <v>98</v>
      </c>
      <c r="D122" s="7" t="s">
        <v>99</v>
      </c>
      <c r="E122" s="7" t="s">
        <v>100</v>
      </c>
      <c r="F122" s="7" t="s">
        <v>101</v>
      </c>
      <c r="G122" s="7">
        <v>-56.999999999999901</v>
      </c>
      <c r="H122" s="7">
        <v>368540</v>
      </c>
      <c r="I122" s="7">
        <v>629600</v>
      </c>
    </row>
    <row r="123" spans="1:9" x14ac:dyDescent="0.3">
      <c r="A123" s="7" t="s">
        <v>285</v>
      </c>
      <c r="B123" s="7" t="s">
        <v>103</v>
      </c>
      <c r="C123" s="7" t="s">
        <v>104</v>
      </c>
      <c r="D123" s="7" t="s">
        <v>105</v>
      </c>
      <c r="E123" s="7" t="s">
        <v>106</v>
      </c>
      <c r="F123" s="7" t="s">
        <v>107</v>
      </c>
      <c r="G123" s="7">
        <v>-57.569696969696899</v>
      </c>
      <c r="H123" s="7">
        <v>371657.272727273</v>
      </c>
      <c r="I123" s="7">
        <v>634826.06060605997</v>
      </c>
    </row>
    <row r="124" spans="1:9" x14ac:dyDescent="0.3">
      <c r="A124" s="7" t="s">
        <v>286</v>
      </c>
      <c r="B124" s="7" t="s">
        <v>109</v>
      </c>
      <c r="C124" s="7" t="s">
        <v>110</v>
      </c>
      <c r="D124" s="7" t="s">
        <v>111</v>
      </c>
      <c r="E124" s="7" t="s">
        <v>112</v>
      </c>
      <c r="F124" s="7" t="s">
        <v>113</v>
      </c>
      <c r="G124" s="7">
        <v>-58.139393939393898</v>
      </c>
      <c r="H124" s="7">
        <v>374774.54545454599</v>
      </c>
      <c r="I124" s="7">
        <v>640052.12121212098</v>
      </c>
    </row>
    <row r="125" spans="1:9" x14ac:dyDescent="0.3">
      <c r="A125" s="7" t="s">
        <v>287</v>
      </c>
      <c r="B125" s="7" t="s">
        <v>115</v>
      </c>
      <c r="C125" s="7" t="s">
        <v>116</v>
      </c>
      <c r="D125" s="7" t="s">
        <v>117</v>
      </c>
      <c r="E125" s="7" t="s">
        <v>118</v>
      </c>
      <c r="F125" s="7" t="s">
        <v>119</v>
      </c>
      <c r="G125" s="7">
        <v>-58.709090909090897</v>
      </c>
      <c r="H125" s="7">
        <v>377891.818181818</v>
      </c>
      <c r="I125" s="7">
        <v>645278.18181818095</v>
      </c>
    </row>
    <row r="126" spans="1:9" x14ac:dyDescent="0.3">
      <c r="A126" s="7" t="s">
        <v>288</v>
      </c>
      <c r="B126" s="7" t="s">
        <v>121</v>
      </c>
      <c r="C126" s="7" t="s">
        <v>122</v>
      </c>
      <c r="D126" s="7" t="s">
        <v>123</v>
      </c>
      <c r="E126" s="7" t="s">
        <v>124</v>
      </c>
      <c r="F126" s="7" t="s">
        <v>125</v>
      </c>
      <c r="G126" s="7">
        <v>-59.278787878787803</v>
      </c>
      <c r="H126" s="7">
        <v>381009.090909091</v>
      </c>
      <c r="I126" s="7">
        <v>650504.24242424197</v>
      </c>
    </row>
    <row r="127" spans="1:9" x14ac:dyDescent="0.3">
      <c r="A127" s="7" t="s">
        <v>289</v>
      </c>
      <c r="B127" s="7" t="s">
        <v>127</v>
      </c>
      <c r="C127" s="7" t="s">
        <v>128</v>
      </c>
      <c r="D127" s="7" t="s">
        <v>129</v>
      </c>
      <c r="E127" s="7" t="s">
        <v>100</v>
      </c>
      <c r="F127" s="7" t="s">
        <v>130</v>
      </c>
      <c r="G127" s="7">
        <v>-59.848484848484802</v>
      </c>
      <c r="H127" s="7">
        <v>384126.363636364</v>
      </c>
      <c r="I127" s="7">
        <v>655730.30303030298</v>
      </c>
    </row>
    <row r="128" spans="1:9" x14ac:dyDescent="0.3">
      <c r="A128" s="7" t="s">
        <v>290</v>
      </c>
      <c r="B128" s="7" t="s">
        <v>132</v>
      </c>
      <c r="C128" s="7" t="s">
        <v>133</v>
      </c>
      <c r="D128" s="7" t="s">
        <v>134</v>
      </c>
      <c r="E128" s="7" t="s">
        <v>106</v>
      </c>
      <c r="F128" s="7" t="s">
        <v>135</v>
      </c>
      <c r="G128" s="7">
        <v>-60.4181818181818</v>
      </c>
      <c r="H128" s="7">
        <v>387243.63636363699</v>
      </c>
      <c r="I128" s="7">
        <v>660956.36363636295</v>
      </c>
    </row>
    <row r="129" spans="1:9" x14ac:dyDescent="0.3">
      <c r="A129" s="7" t="s">
        <v>291</v>
      </c>
      <c r="B129" s="7" t="s">
        <v>137</v>
      </c>
      <c r="C129" s="7" t="s">
        <v>138</v>
      </c>
      <c r="D129" s="7" t="s">
        <v>139</v>
      </c>
      <c r="E129" s="7" t="s">
        <v>112</v>
      </c>
      <c r="F129" s="7" t="s">
        <v>140</v>
      </c>
      <c r="G129" s="7">
        <v>-60.987878787878699</v>
      </c>
      <c r="H129" s="7">
        <v>390360.909090909</v>
      </c>
      <c r="I129" s="7">
        <v>666182.42424242396</v>
      </c>
    </row>
    <row r="130" spans="1:9" x14ac:dyDescent="0.3">
      <c r="A130" s="7" t="s">
        <v>292</v>
      </c>
      <c r="B130" s="7" t="s">
        <v>142</v>
      </c>
      <c r="C130" s="7" t="s">
        <v>143</v>
      </c>
      <c r="D130" s="7" t="s">
        <v>105</v>
      </c>
      <c r="E130" s="7" t="s">
        <v>118</v>
      </c>
      <c r="F130" s="7" t="s">
        <v>144</v>
      </c>
      <c r="G130" s="7">
        <v>-61.557575757575698</v>
      </c>
      <c r="H130" s="7">
        <v>393478.181818182</v>
      </c>
      <c r="I130" s="7">
        <v>671408.48484848405</v>
      </c>
    </row>
    <row r="131" spans="1:9" x14ac:dyDescent="0.3">
      <c r="A131" s="7" t="s">
        <v>293</v>
      </c>
      <c r="B131" s="7" t="s">
        <v>146</v>
      </c>
      <c r="C131" s="7" t="s">
        <v>147</v>
      </c>
      <c r="D131" s="7" t="s">
        <v>99</v>
      </c>
      <c r="E131" s="7" t="s">
        <v>124</v>
      </c>
      <c r="F131" s="7" t="s">
        <v>148</v>
      </c>
      <c r="G131" s="7">
        <v>-62.127272727272697</v>
      </c>
      <c r="H131" s="7">
        <v>396595.454545455</v>
      </c>
      <c r="I131" s="7">
        <v>676634.54545454495</v>
      </c>
    </row>
    <row r="132" spans="1:9" x14ac:dyDescent="0.3">
      <c r="A132" s="7" t="s">
        <v>294</v>
      </c>
      <c r="B132" s="7" t="s">
        <v>97</v>
      </c>
      <c r="C132" s="7" t="s">
        <v>98</v>
      </c>
      <c r="D132" s="7" t="s">
        <v>99</v>
      </c>
      <c r="E132" s="7" t="s">
        <v>100</v>
      </c>
      <c r="F132" s="7" t="s">
        <v>101</v>
      </c>
      <c r="G132" s="7">
        <v>-62.696969696969603</v>
      </c>
      <c r="H132" s="7">
        <v>399712.72727272799</v>
      </c>
      <c r="I132" s="7">
        <v>681860.60606060596</v>
      </c>
    </row>
    <row r="133" spans="1:9" x14ac:dyDescent="0.3">
      <c r="A133" s="7" t="s">
        <v>295</v>
      </c>
      <c r="B133" s="7" t="s">
        <v>103</v>
      </c>
      <c r="C133" s="7" t="s">
        <v>104</v>
      </c>
      <c r="D133" s="7" t="s">
        <v>105</v>
      </c>
      <c r="E133" s="7" t="s">
        <v>106</v>
      </c>
      <c r="F133" s="7" t="s">
        <v>107</v>
      </c>
      <c r="G133" s="7">
        <v>-63.266666666666602</v>
      </c>
      <c r="H133" s="7">
        <v>402830</v>
      </c>
      <c r="I133" s="7">
        <v>687086.66666666605</v>
      </c>
    </row>
    <row r="134" spans="1:9" x14ac:dyDescent="0.3">
      <c r="A134" s="7" t="s">
        <v>296</v>
      </c>
      <c r="B134" s="7" t="s">
        <v>109</v>
      </c>
      <c r="C134" s="7" t="s">
        <v>110</v>
      </c>
      <c r="D134" s="7" t="s">
        <v>111</v>
      </c>
      <c r="E134" s="7" t="s">
        <v>112</v>
      </c>
      <c r="F134" s="7" t="s">
        <v>113</v>
      </c>
      <c r="G134" s="7">
        <v>-63.8363636363636</v>
      </c>
      <c r="H134" s="7">
        <v>405947.272727273</v>
      </c>
      <c r="I134" s="7">
        <v>692312.72727272694</v>
      </c>
    </row>
    <row r="135" spans="1:9" x14ac:dyDescent="0.3">
      <c r="A135" s="7" t="s">
        <v>297</v>
      </c>
      <c r="B135" s="7" t="s">
        <v>115</v>
      </c>
      <c r="C135" s="7" t="s">
        <v>116</v>
      </c>
      <c r="D135" s="7" t="s">
        <v>117</v>
      </c>
      <c r="E135" s="7" t="s">
        <v>118</v>
      </c>
      <c r="F135" s="7" t="s">
        <v>119</v>
      </c>
      <c r="G135" s="7">
        <v>-64.406060606060606</v>
      </c>
      <c r="H135" s="7">
        <v>409064.54545454599</v>
      </c>
      <c r="I135" s="7">
        <v>697538.78787878703</v>
      </c>
    </row>
    <row r="136" spans="1:9" x14ac:dyDescent="0.3">
      <c r="A136" s="7" t="s">
        <v>298</v>
      </c>
      <c r="B136" s="7" t="s">
        <v>121</v>
      </c>
      <c r="C136" s="7" t="s">
        <v>122</v>
      </c>
      <c r="D136" s="7" t="s">
        <v>123</v>
      </c>
      <c r="E136" s="7" t="s">
        <v>124</v>
      </c>
      <c r="F136" s="7" t="s">
        <v>125</v>
      </c>
      <c r="G136" s="7">
        <v>-64.975757575757498</v>
      </c>
      <c r="H136" s="7">
        <v>412181.818181818</v>
      </c>
      <c r="I136" s="7">
        <v>702764.84848484804</v>
      </c>
    </row>
    <row r="137" spans="1:9" x14ac:dyDescent="0.3">
      <c r="A137" s="7" t="s">
        <v>299</v>
      </c>
      <c r="B137" s="7" t="s">
        <v>127</v>
      </c>
      <c r="C137" s="7" t="s">
        <v>128</v>
      </c>
      <c r="D137" s="7" t="s">
        <v>129</v>
      </c>
      <c r="E137" s="7" t="s">
        <v>100</v>
      </c>
      <c r="F137" s="7" t="s">
        <v>130</v>
      </c>
      <c r="G137" s="7">
        <v>-65.545454545454504</v>
      </c>
      <c r="H137" s="7">
        <v>415299.090909091</v>
      </c>
      <c r="I137" s="7">
        <v>707990.90909090894</v>
      </c>
    </row>
    <row r="138" spans="1:9" x14ac:dyDescent="0.3">
      <c r="A138" s="7" t="s">
        <v>300</v>
      </c>
      <c r="B138" s="7" t="s">
        <v>132</v>
      </c>
      <c r="C138" s="7" t="s">
        <v>133</v>
      </c>
      <c r="D138" s="7" t="s">
        <v>134</v>
      </c>
      <c r="E138" s="7" t="s">
        <v>106</v>
      </c>
      <c r="F138" s="7" t="s">
        <v>135</v>
      </c>
      <c r="G138" s="7">
        <v>-66.115151515151496</v>
      </c>
      <c r="H138" s="7">
        <v>418416.363636364</v>
      </c>
      <c r="I138" s="7">
        <v>713216.96969696903</v>
      </c>
    </row>
    <row r="139" spans="1:9" x14ac:dyDescent="0.3">
      <c r="A139" s="7" t="s">
        <v>301</v>
      </c>
      <c r="B139" s="7" t="s">
        <v>137</v>
      </c>
      <c r="C139" s="7" t="s">
        <v>138</v>
      </c>
      <c r="D139" s="7" t="s">
        <v>139</v>
      </c>
      <c r="E139" s="7" t="s">
        <v>112</v>
      </c>
      <c r="F139" s="7" t="s">
        <v>140</v>
      </c>
      <c r="G139" s="7">
        <v>-66.684848484848402</v>
      </c>
      <c r="H139" s="7">
        <v>421533.63636363699</v>
      </c>
      <c r="I139" s="7">
        <v>718443.03030303004</v>
      </c>
    </row>
    <row r="140" spans="1:9" x14ac:dyDescent="0.3">
      <c r="A140" s="7" t="s">
        <v>302</v>
      </c>
      <c r="B140" s="7" t="s">
        <v>142</v>
      </c>
      <c r="C140" s="7" t="s">
        <v>143</v>
      </c>
      <c r="D140" s="7" t="s">
        <v>105</v>
      </c>
      <c r="E140" s="7" t="s">
        <v>118</v>
      </c>
      <c r="F140" s="7" t="s">
        <v>144</v>
      </c>
      <c r="G140" s="7">
        <v>-67.254545454545394</v>
      </c>
      <c r="H140" s="7">
        <v>424650.909090909</v>
      </c>
      <c r="I140" s="7">
        <v>723669.09090909106</v>
      </c>
    </row>
    <row r="141" spans="1:9" x14ac:dyDescent="0.3">
      <c r="A141" s="7" t="s">
        <v>303</v>
      </c>
      <c r="B141" s="7" t="s">
        <v>146</v>
      </c>
      <c r="C141" s="7" t="s">
        <v>147</v>
      </c>
      <c r="D141" s="7" t="s">
        <v>99</v>
      </c>
      <c r="E141" s="7" t="s">
        <v>124</v>
      </c>
      <c r="F141" s="7" t="s">
        <v>148</v>
      </c>
      <c r="G141" s="7">
        <v>-67.824242424242399</v>
      </c>
      <c r="H141" s="7">
        <v>427768.181818182</v>
      </c>
      <c r="I141" s="7">
        <v>728895.15151515102</v>
      </c>
    </row>
    <row r="142" spans="1:9" x14ac:dyDescent="0.3">
      <c r="A142" s="7" t="s">
        <v>304</v>
      </c>
      <c r="B142" s="7" t="s">
        <v>97</v>
      </c>
      <c r="C142" s="7" t="s">
        <v>98</v>
      </c>
      <c r="D142" s="7" t="s">
        <v>99</v>
      </c>
      <c r="E142" s="7" t="s">
        <v>100</v>
      </c>
      <c r="F142" s="7" t="s">
        <v>101</v>
      </c>
      <c r="G142" s="7">
        <v>-68.393939393939306</v>
      </c>
      <c r="H142" s="7">
        <v>430885.454545455</v>
      </c>
      <c r="I142" s="7">
        <v>734121.21212121204</v>
      </c>
    </row>
    <row r="143" spans="1:9" x14ac:dyDescent="0.3">
      <c r="A143" s="7" t="s">
        <v>305</v>
      </c>
      <c r="B143" s="7" t="s">
        <v>103</v>
      </c>
      <c r="C143" s="7" t="s">
        <v>104</v>
      </c>
      <c r="D143" s="7" t="s">
        <v>105</v>
      </c>
      <c r="E143" s="7" t="s">
        <v>106</v>
      </c>
      <c r="F143" s="7" t="s">
        <v>107</v>
      </c>
      <c r="G143" s="7">
        <v>-68.963636363636297</v>
      </c>
      <c r="H143" s="7">
        <v>434002.72727272799</v>
      </c>
      <c r="I143" s="7">
        <v>739347.27272727201</v>
      </c>
    </row>
    <row r="144" spans="1:9" x14ac:dyDescent="0.3">
      <c r="A144" s="7" t="s">
        <v>306</v>
      </c>
      <c r="B144" s="7" t="s">
        <v>109</v>
      </c>
      <c r="C144" s="7" t="s">
        <v>110</v>
      </c>
      <c r="D144" s="7" t="s">
        <v>111</v>
      </c>
      <c r="E144" s="7" t="s">
        <v>112</v>
      </c>
      <c r="F144" s="7" t="s">
        <v>113</v>
      </c>
      <c r="G144" s="7">
        <v>-69.533333333333303</v>
      </c>
      <c r="H144" s="7">
        <v>437120</v>
      </c>
      <c r="I144" s="7">
        <v>744573.33333333302</v>
      </c>
    </row>
    <row r="145" spans="1:9" x14ac:dyDescent="0.3">
      <c r="A145" s="7" t="s">
        <v>307</v>
      </c>
      <c r="B145" s="7" t="s">
        <v>115</v>
      </c>
      <c r="C145" s="7" t="s">
        <v>116</v>
      </c>
      <c r="D145" s="7" t="s">
        <v>117</v>
      </c>
      <c r="E145" s="7" t="s">
        <v>118</v>
      </c>
      <c r="F145" s="7" t="s">
        <v>119</v>
      </c>
      <c r="G145" s="7">
        <v>-70.103030303030295</v>
      </c>
      <c r="H145" s="7">
        <v>440237.272727273</v>
      </c>
      <c r="I145" s="7">
        <v>749799.39393939404</v>
      </c>
    </row>
    <row r="146" spans="1:9" x14ac:dyDescent="0.3">
      <c r="A146" s="7" t="s">
        <v>308</v>
      </c>
      <c r="B146" s="7" t="s">
        <v>121</v>
      </c>
      <c r="C146" s="7" t="s">
        <v>122</v>
      </c>
      <c r="D146" s="7" t="s">
        <v>123</v>
      </c>
      <c r="E146" s="7" t="s">
        <v>124</v>
      </c>
      <c r="F146" s="7" t="s">
        <v>125</v>
      </c>
      <c r="G146" s="7">
        <v>-70.672727272727201</v>
      </c>
      <c r="H146" s="7">
        <v>443354.54545454599</v>
      </c>
      <c r="I146" s="7">
        <v>755025.45454545401</v>
      </c>
    </row>
    <row r="147" spans="1:9" x14ac:dyDescent="0.3">
      <c r="A147" s="7" t="s">
        <v>309</v>
      </c>
      <c r="B147" s="7" t="s">
        <v>127</v>
      </c>
      <c r="C147" s="7" t="s">
        <v>128</v>
      </c>
      <c r="D147" s="7" t="s">
        <v>129</v>
      </c>
      <c r="E147" s="7" t="s">
        <v>100</v>
      </c>
      <c r="F147" s="7" t="s">
        <v>130</v>
      </c>
      <c r="G147" s="7">
        <v>-71.242424242424207</v>
      </c>
      <c r="H147" s="7">
        <v>446471.818181818</v>
      </c>
      <c r="I147" s="7">
        <v>760251.51515151502</v>
      </c>
    </row>
    <row r="148" spans="1:9" x14ac:dyDescent="0.3">
      <c r="A148" s="7" t="s">
        <v>310</v>
      </c>
      <c r="B148" s="7" t="s">
        <v>132</v>
      </c>
      <c r="C148" s="7" t="s">
        <v>133</v>
      </c>
      <c r="D148" s="7" t="s">
        <v>134</v>
      </c>
      <c r="E148" s="7" t="s">
        <v>106</v>
      </c>
      <c r="F148" s="7" t="s">
        <v>135</v>
      </c>
      <c r="G148" s="7">
        <v>-71.812121212121198</v>
      </c>
      <c r="H148" s="7">
        <v>449589.090909091</v>
      </c>
      <c r="I148" s="7">
        <v>765477.57575757499</v>
      </c>
    </row>
    <row r="149" spans="1:9" x14ac:dyDescent="0.3">
      <c r="A149" s="7" t="s">
        <v>311</v>
      </c>
      <c r="B149" s="7" t="s">
        <v>137</v>
      </c>
      <c r="C149" s="7" t="s">
        <v>138</v>
      </c>
      <c r="D149" s="7" t="s">
        <v>139</v>
      </c>
      <c r="E149" s="7" t="s">
        <v>112</v>
      </c>
      <c r="F149" s="7" t="s">
        <v>140</v>
      </c>
      <c r="G149" s="7">
        <v>-72.381818181818105</v>
      </c>
      <c r="H149" s="7">
        <v>452706.363636364</v>
      </c>
      <c r="I149" s="7">
        <v>770703.636363636</v>
      </c>
    </row>
    <row r="150" spans="1:9" x14ac:dyDescent="0.3">
      <c r="A150" s="7" t="s">
        <v>312</v>
      </c>
      <c r="B150" s="7" t="s">
        <v>142</v>
      </c>
      <c r="C150" s="7" t="s">
        <v>143</v>
      </c>
      <c r="D150" s="7" t="s">
        <v>105</v>
      </c>
      <c r="E150" s="7" t="s">
        <v>118</v>
      </c>
      <c r="F150" s="7" t="s">
        <v>144</v>
      </c>
      <c r="G150" s="7">
        <v>-72.951515151515096</v>
      </c>
      <c r="H150" s="7">
        <v>455823.63636363699</v>
      </c>
      <c r="I150" s="7">
        <v>775929.69696969702</v>
      </c>
    </row>
    <row r="151" spans="1:9" x14ac:dyDescent="0.3">
      <c r="A151" s="7" t="s">
        <v>313</v>
      </c>
      <c r="B151" s="7" t="s">
        <v>146</v>
      </c>
      <c r="C151" s="7" t="s">
        <v>147</v>
      </c>
      <c r="D151" s="7" t="s">
        <v>99</v>
      </c>
      <c r="E151" s="7" t="s">
        <v>124</v>
      </c>
      <c r="F151" s="7" t="s">
        <v>148</v>
      </c>
      <c r="G151" s="7">
        <v>-73.521212121212102</v>
      </c>
      <c r="H151" s="7">
        <v>458940.909090909</v>
      </c>
      <c r="I151" s="7">
        <v>781155.75757575699</v>
      </c>
    </row>
    <row r="152" spans="1:9" x14ac:dyDescent="0.3">
      <c r="A152" s="7" t="s">
        <v>314</v>
      </c>
      <c r="B152" s="7" t="s">
        <v>97</v>
      </c>
      <c r="C152" s="7" t="s">
        <v>98</v>
      </c>
      <c r="D152" s="7" t="s">
        <v>99</v>
      </c>
      <c r="E152" s="7" t="s">
        <v>100</v>
      </c>
      <c r="F152" s="7" t="s">
        <v>101</v>
      </c>
      <c r="G152" s="7">
        <v>-74.090909090908994</v>
      </c>
      <c r="H152" s="7">
        <v>462058.181818182</v>
      </c>
      <c r="I152" s="7">
        <v>786381.818181818</v>
      </c>
    </row>
    <row r="153" spans="1:9" x14ac:dyDescent="0.3">
      <c r="A153" s="7" t="s">
        <v>315</v>
      </c>
      <c r="B153" s="7" t="s">
        <v>103</v>
      </c>
      <c r="C153" s="7" t="s">
        <v>104</v>
      </c>
      <c r="D153" s="7" t="s">
        <v>105</v>
      </c>
      <c r="E153" s="7" t="s">
        <v>106</v>
      </c>
      <c r="F153" s="7" t="s">
        <v>107</v>
      </c>
      <c r="G153" s="7">
        <v>-74.660606060606</v>
      </c>
      <c r="H153" s="7">
        <v>465175.454545455</v>
      </c>
      <c r="I153" s="7">
        <v>791607.87878787797</v>
      </c>
    </row>
    <row r="154" spans="1:9" x14ac:dyDescent="0.3">
      <c r="A154" s="7" t="s">
        <v>316</v>
      </c>
      <c r="B154" s="7" t="s">
        <v>109</v>
      </c>
      <c r="C154" s="7" t="s">
        <v>110</v>
      </c>
      <c r="D154" s="7" t="s">
        <v>111</v>
      </c>
      <c r="E154" s="7" t="s">
        <v>112</v>
      </c>
      <c r="F154" s="7" t="s">
        <v>113</v>
      </c>
      <c r="G154" s="7">
        <v>-75.230303030303006</v>
      </c>
      <c r="H154" s="7">
        <v>468292.72727272799</v>
      </c>
      <c r="I154" s="7">
        <v>796833.93939393898</v>
      </c>
    </row>
    <row r="155" spans="1:9" x14ac:dyDescent="0.3">
      <c r="A155" s="7" t="s">
        <v>317</v>
      </c>
      <c r="B155" s="7" t="s">
        <v>115</v>
      </c>
      <c r="C155" s="7" t="s">
        <v>116</v>
      </c>
      <c r="D155" s="7" t="s">
        <v>117</v>
      </c>
      <c r="E155" s="7" t="s">
        <v>118</v>
      </c>
      <c r="F155" s="7" t="s">
        <v>119</v>
      </c>
      <c r="G155" s="7">
        <v>-75.799999999999898</v>
      </c>
      <c r="H155" s="7">
        <v>471410</v>
      </c>
      <c r="I155" s="7">
        <v>802060</v>
      </c>
    </row>
    <row r="156" spans="1:9" x14ac:dyDescent="0.3">
      <c r="A156" s="7" t="s">
        <v>318</v>
      </c>
      <c r="B156" s="7" t="s">
        <v>121</v>
      </c>
      <c r="C156" s="7" t="s">
        <v>122</v>
      </c>
      <c r="D156" s="7" t="s">
        <v>123</v>
      </c>
      <c r="E156" s="7" t="s">
        <v>124</v>
      </c>
      <c r="F156" s="7" t="s">
        <v>125</v>
      </c>
      <c r="G156" s="7">
        <v>-76.369696969696903</v>
      </c>
      <c r="H156" s="7">
        <v>474527.272727273</v>
      </c>
      <c r="I156" s="7">
        <v>807286.06060605997</v>
      </c>
    </row>
    <row r="157" spans="1:9" x14ac:dyDescent="0.3">
      <c r="A157" s="7" t="s">
        <v>319</v>
      </c>
      <c r="B157" s="7" t="s">
        <v>127</v>
      </c>
      <c r="C157" s="7" t="s">
        <v>128</v>
      </c>
      <c r="D157" s="7" t="s">
        <v>129</v>
      </c>
      <c r="E157" s="7" t="s">
        <v>100</v>
      </c>
      <c r="F157" s="7" t="s">
        <v>130</v>
      </c>
      <c r="G157" s="7">
        <v>-76.939393939393895</v>
      </c>
      <c r="H157" s="7">
        <v>477644.54545454599</v>
      </c>
      <c r="I157" s="7">
        <v>812512.12121212098</v>
      </c>
    </row>
    <row r="158" spans="1:9" x14ac:dyDescent="0.3">
      <c r="A158" s="7" t="s">
        <v>320</v>
      </c>
      <c r="B158" s="7" t="s">
        <v>132</v>
      </c>
      <c r="C158" s="7" t="s">
        <v>133</v>
      </c>
      <c r="D158" s="7" t="s">
        <v>134</v>
      </c>
      <c r="E158" s="7" t="s">
        <v>106</v>
      </c>
      <c r="F158" s="7" t="s">
        <v>135</v>
      </c>
      <c r="G158" s="7">
        <v>-77.509090909090901</v>
      </c>
      <c r="H158" s="7">
        <v>480761.818181818</v>
      </c>
      <c r="I158" s="7">
        <v>817738.18181818095</v>
      </c>
    </row>
    <row r="159" spans="1:9" x14ac:dyDescent="0.3">
      <c r="A159" s="7" t="s">
        <v>321</v>
      </c>
      <c r="B159" s="7" t="s">
        <v>137</v>
      </c>
      <c r="C159" s="7" t="s">
        <v>138</v>
      </c>
      <c r="D159" s="7" t="s">
        <v>139</v>
      </c>
      <c r="E159" s="7" t="s">
        <v>112</v>
      </c>
      <c r="F159" s="7" t="s">
        <v>140</v>
      </c>
      <c r="G159" s="7">
        <v>-78.078787878787793</v>
      </c>
      <c r="H159" s="7">
        <v>483879.090909091</v>
      </c>
      <c r="I159" s="7">
        <v>822964.24242424197</v>
      </c>
    </row>
    <row r="160" spans="1:9" x14ac:dyDescent="0.3">
      <c r="A160" s="7" t="s">
        <v>322</v>
      </c>
      <c r="B160" s="7" t="s">
        <v>142</v>
      </c>
      <c r="C160" s="7" t="s">
        <v>143</v>
      </c>
      <c r="D160" s="7" t="s">
        <v>105</v>
      </c>
      <c r="E160" s="7" t="s">
        <v>118</v>
      </c>
      <c r="F160" s="7" t="s">
        <v>144</v>
      </c>
      <c r="G160" s="7">
        <v>-78.648484848484799</v>
      </c>
      <c r="H160" s="7">
        <v>486996.363636364</v>
      </c>
      <c r="I160" s="7">
        <v>828190.30303030298</v>
      </c>
    </row>
    <row r="161" spans="1:9" x14ac:dyDescent="0.3">
      <c r="A161" s="7" t="s">
        <v>323</v>
      </c>
      <c r="B161" s="7" t="s">
        <v>146</v>
      </c>
      <c r="C161" s="7" t="s">
        <v>147</v>
      </c>
      <c r="D161" s="7" t="s">
        <v>99</v>
      </c>
      <c r="E161" s="7" t="s">
        <v>124</v>
      </c>
      <c r="F161" s="7" t="s">
        <v>148</v>
      </c>
      <c r="G161" s="7">
        <v>-79.218181818181804</v>
      </c>
      <c r="H161" s="7">
        <v>490113.63636363699</v>
      </c>
      <c r="I161" s="7">
        <v>833416.36363636295</v>
      </c>
    </row>
    <row r="162" spans="1:9" x14ac:dyDescent="0.3">
      <c r="A162" s="7" t="s">
        <v>324</v>
      </c>
      <c r="B162" s="7" t="s">
        <v>97</v>
      </c>
      <c r="C162" s="7" t="s">
        <v>98</v>
      </c>
      <c r="D162" s="7" t="s">
        <v>99</v>
      </c>
      <c r="E162" s="7" t="s">
        <v>100</v>
      </c>
      <c r="F162" s="7" t="s">
        <v>101</v>
      </c>
      <c r="G162" s="7">
        <v>-79.787878787878697</v>
      </c>
      <c r="H162" s="7">
        <v>493230.909090909</v>
      </c>
      <c r="I162" s="7">
        <v>838642.42424242396</v>
      </c>
    </row>
    <row r="163" spans="1:9" x14ac:dyDescent="0.3">
      <c r="A163" s="7" t="s">
        <v>325</v>
      </c>
      <c r="B163" s="7" t="s">
        <v>103</v>
      </c>
      <c r="C163" s="7" t="s">
        <v>104</v>
      </c>
      <c r="D163" s="7" t="s">
        <v>105</v>
      </c>
      <c r="E163" s="7" t="s">
        <v>106</v>
      </c>
      <c r="F163" s="7" t="s">
        <v>107</v>
      </c>
      <c r="G163" s="7">
        <v>-80.357575757575702</v>
      </c>
      <c r="H163" s="7">
        <v>496348.181818182</v>
      </c>
      <c r="I163" s="7">
        <v>843868.48484848405</v>
      </c>
    </row>
    <row r="164" spans="1:9" x14ac:dyDescent="0.3">
      <c r="A164" s="7" t="s">
        <v>326</v>
      </c>
      <c r="B164" s="7" t="s">
        <v>109</v>
      </c>
      <c r="C164" s="7" t="s">
        <v>110</v>
      </c>
      <c r="D164" s="7" t="s">
        <v>111</v>
      </c>
      <c r="E164" s="7" t="s">
        <v>112</v>
      </c>
      <c r="F164" s="7" t="s">
        <v>113</v>
      </c>
      <c r="G164" s="7">
        <v>-80.927272727272694</v>
      </c>
      <c r="H164" s="7">
        <v>499465.454545455</v>
      </c>
      <c r="I164" s="7">
        <v>849094.54545454495</v>
      </c>
    </row>
    <row r="165" spans="1:9" x14ac:dyDescent="0.3">
      <c r="A165" s="7" t="s">
        <v>327</v>
      </c>
      <c r="B165" s="7" t="s">
        <v>115</v>
      </c>
      <c r="C165" s="7" t="s">
        <v>116</v>
      </c>
      <c r="D165" s="7" t="s">
        <v>117</v>
      </c>
      <c r="E165" s="7" t="s">
        <v>118</v>
      </c>
      <c r="F165" s="7" t="s">
        <v>119</v>
      </c>
      <c r="G165" s="7">
        <v>-81.4969696969696</v>
      </c>
      <c r="H165" s="7">
        <v>502582.72727272799</v>
      </c>
      <c r="I165" s="7">
        <v>854320.60606060596</v>
      </c>
    </row>
    <row r="166" spans="1:9" x14ac:dyDescent="0.3">
      <c r="A166" s="7" t="s">
        <v>328</v>
      </c>
      <c r="B166" s="7" t="s">
        <v>121</v>
      </c>
      <c r="C166" s="7" t="s">
        <v>122</v>
      </c>
      <c r="D166" s="7" t="s">
        <v>123</v>
      </c>
      <c r="E166" s="7" t="s">
        <v>124</v>
      </c>
      <c r="F166" s="7" t="s">
        <v>125</v>
      </c>
      <c r="G166" s="7">
        <v>-82.066666666666606</v>
      </c>
      <c r="H166" s="7">
        <v>505700</v>
      </c>
      <c r="I166" s="7">
        <v>859546.66666666605</v>
      </c>
    </row>
    <row r="167" spans="1:9" x14ac:dyDescent="0.3">
      <c r="A167" s="7" t="s">
        <v>329</v>
      </c>
      <c r="B167" s="7" t="s">
        <v>127</v>
      </c>
      <c r="C167" s="7" t="s">
        <v>128</v>
      </c>
      <c r="D167" s="7" t="s">
        <v>129</v>
      </c>
      <c r="E167" s="7" t="s">
        <v>100</v>
      </c>
      <c r="F167" s="7" t="s">
        <v>130</v>
      </c>
      <c r="G167" s="7">
        <v>-82.636363636363598</v>
      </c>
      <c r="H167" s="7">
        <v>508817.272727273</v>
      </c>
      <c r="I167" s="7">
        <v>864772.72727272694</v>
      </c>
    </row>
    <row r="168" spans="1:9" x14ac:dyDescent="0.3">
      <c r="A168" s="7" t="s">
        <v>330</v>
      </c>
      <c r="B168" s="7" t="s">
        <v>132</v>
      </c>
      <c r="C168" s="7" t="s">
        <v>133</v>
      </c>
      <c r="D168" s="7" t="s">
        <v>134</v>
      </c>
      <c r="E168" s="7" t="s">
        <v>106</v>
      </c>
      <c r="F168" s="7" t="s">
        <v>135</v>
      </c>
      <c r="G168" s="7">
        <v>-83.206060606060504</v>
      </c>
      <c r="H168" s="7">
        <v>511934.54545454599</v>
      </c>
      <c r="I168" s="7">
        <v>869998.78787878703</v>
      </c>
    </row>
    <row r="169" spans="1:9" x14ac:dyDescent="0.3">
      <c r="A169" s="7" t="s">
        <v>331</v>
      </c>
      <c r="B169" s="7" t="s">
        <v>137</v>
      </c>
      <c r="C169" s="7" t="s">
        <v>138</v>
      </c>
      <c r="D169" s="7" t="s">
        <v>139</v>
      </c>
      <c r="E169" s="7" t="s">
        <v>112</v>
      </c>
      <c r="F169" s="7" t="s">
        <v>140</v>
      </c>
      <c r="G169" s="7">
        <v>-83.775757575757495</v>
      </c>
      <c r="H169" s="7">
        <v>515051.818181818</v>
      </c>
      <c r="I169" s="7">
        <v>875224.84848484804</v>
      </c>
    </row>
    <row r="170" spans="1:9" x14ac:dyDescent="0.3">
      <c r="A170" s="7" t="s">
        <v>332</v>
      </c>
      <c r="B170" s="7" t="s">
        <v>142</v>
      </c>
      <c r="C170" s="7" t="s">
        <v>143</v>
      </c>
      <c r="D170" s="7" t="s">
        <v>105</v>
      </c>
      <c r="E170" s="7" t="s">
        <v>118</v>
      </c>
      <c r="F170" s="7" t="s">
        <v>144</v>
      </c>
      <c r="G170" s="7">
        <v>-84.345454545454501</v>
      </c>
      <c r="H170" s="7">
        <v>518169.090909091</v>
      </c>
      <c r="I170" s="7">
        <v>880450.90909090894</v>
      </c>
    </row>
    <row r="171" spans="1:9" x14ac:dyDescent="0.3">
      <c r="A171" s="7" t="s">
        <v>333</v>
      </c>
      <c r="B171" s="7" t="s">
        <v>146</v>
      </c>
      <c r="C171" s="7" t="s">
        <v>147</v>
      </c>
      <c r="D171" s="7" t="s">
        <v>99</v>
      </c>
      <c r="E171" s="7" t="s">
        <v>124</v>
      </c>
      <c r="F171" s="7" t="s">
        <v>148</v>
      </c>
      <c r="G171" s="7">
        <v>-84.915151515151507</v>
      </c>
      <c r="H171" s="7">
        <v>521286.363636364</v>
      </c>
      <c r="I171" s="7">
        <v>885676.96969696903</v>
      </c>
    </row>
    <row r="172" spans="1:9" x14ac:dyDescent="0.3">
      <c r="A172" s="7" t="s">
        <v>334</v>
      </c>
      <c r="B172" s="7" t="s">
        <v>97</v>
      </c>
      <c r="C172" s="7" t="s">
        <v>98</v>
      </c>
      <c r="D172" s="7" t="s">
        <v>99</v>
      </c>
      <c r="E172" s="7" t="s">
        <v>100</v>
      </c>
      <c r="F172" s="7" t="s">
        <v>101</v>
      </c>
      <c r="G172" s="7">
        <v>-85.484848484848399</v>
      </c>
      <c r="H172" s="7">
        <v>524403.63636363705</v>
      </c>
      <c r="I172" s="7">
        <v>890903.03030303004</v>
      </c>
    </row>
    <row r="173" spans="1:9" x14ac:dyDescent="0.3">
      <c r="A173" s="7" t="s">
        <v>335</v>
      </c>
      <c r="B173" s="7" t="s">
        <v>103</v>
      </c>
      <c r="C173" s="7" t="s">
        <v>104</v>
      </c>
      <c r="D173" s="7" t="s">
        <v>105</v>
      </c>
      <c r="E173" s="7" t="s">
        <v>106</v>
      </c>
      <c r="F173" s="7" t="s">
        <v>107</v>
      </c>
      <c r="G173" s="7">
        <v>-86.054545454545405</v>
      </c>
      <c r="H173" s="7">
        <v>527520.90909090894</v>
      </c>
      <c r="I173" s="7">
        <v>896129.09090909001</v>
      </c>
    </row>
    <row r="174" spans="1:9" x14ac:dyDescent="0.3">
      <c r="A174" s="7" t="s">
        <v>336</v>
      </c>
      <c r="B174" s="7" t="s">
        <v>109</v>
      </c>
      <c r="C174" s="7" t="s">
        <v>110</v>
      </c>
      <c r="D174" s="7" t="s">
        <v>111</v>
      </c>
      <c r="E174" s="7" t="s">
        <v>112</v>
      </c>
      <c r="F174" s="7" t="s">
        <v>113</v>
      </c>
      <c r="G174" s="7">
        <v>-86.624242424242397</v>
      </c>
      <c r="H174" s="7">
        <v>530638.181818182</v>
      </c>
      <c r="I174" s="7">
        <v>901355.15151515102</v>
      </c>
    </row>
    <row r="175" spans="1:9" x14ac:dyDescent="0.3">
      <c r="A175" s="7" t="s">
        <v>337</v>
      </c>
      <c r="B175" s="7" t="s">
        <v>115</v>
      </c>
      <c r="C175" s="7" t="s">
        <v>116</v>
      </c>
      <c r="D175" s="7" t="s">
        <v>117</v>
      </c>
      <c r="E175" s="7" t="s">
        <v>118</v>
      </c>
      <c r="F175" s="7" t="s">
        <v>119</v>
      </c>
      <c r="G175" s="7">
        <v>-87.193939393939303</v>
      </c>
      <c r="H175" s="7">
        <v>533755.45454545505</v>
      </c>
      <c r="I175" s="7">
        <v>906581.21212121204</v>
      </c>
    </row>
    <row r="176" spans="1:9" x14ac:dyDescent="0.3">
      <c r="A176" s="7" t="s">
        <v>338</v>
      </c>
      <c r="B176" s="7" t="s">
        <v>121</v>
      </c>
      <c r="C176" s="7" t="s">
        <v>122</v>
      </c>
      <c r="D176" s="7" t="s">
        <v>123</v>
      </c>
      <c r="E176" s="7" t="s">
        <v>124</v>
      </c>
      <c r="F176" s="7" t="s">
        <v>125</v>
      </c>
      <c r="G176" s="7">
        <v>-87.763636363636294</v>
      </c>
      <c r="H176" s="7">
        <v>536872.72727272799</v>
      </c>
      <c r="I176" s="7">
        <v>911807.27272727201</v>
      </c>
    </row>
    <row r="177" spans="1:9" x14ac:dyDescent="0.3">
      <c r="A177" s="7" t="s">
        <v>339</v>
      </c>
      <c r="B177" s="7" t="s">
        <v>127</v>
      </c>
      <c r="C177" s="7" t="s">
        <v>128</v>
      </c>
      <c r="D177" s="7" t="s">
        <v>129</v>
      </c>
      <c r="E177" s="7" t="s">
        <v>100</v>
      </c>
      <c r="F177" s="7" t="s">
        <v>130</v>
      </c>
      <c r="G177" s="7">
        <v>-88.3333333333333</v>
      </c>
      <c r="H177" s="7">
        <v>539990</v>
      </c>
      <c r="I177" s="7">
        <v>917033.33333333302</v>
      </c>
    </row>
    <row r="178" spans="1:9" x14ac:dyDescent="0.3">
      <c r="A178" s="7" t="s">
        <v>340</v>
      </c>
      <c r="B178" s="7" t="s">
        <v>132</v>
      </c>
      <c r="C178" s="7" t="s">
        <v>133</v>
      </c>
      <c r="D178" s="7" t="s">
        <v>134</v>
      </c>
      <c r="E178" s="7" t="s">
        <v>106</v>
      </c>
      <c r="F178" s="7" t="s">
        <v>135</v>
      </c>
      <c r="G178" s="7">
        <v>-88.903030303030604</v>
      </c>
      <c r="H178" s="7">
        <v>543107.27272727306</v>
      </c>
      <c r="I178" s="7">
        <v>922259.39393939404</v>
      </c>
    </row>
    <row r="179" spans="1:9" x14ac:dyDescent="0.3">
      <c r="A179" s="7" t="s">
        <v>341</v>
      </c>
      <c r="B179" s="7" t="s">
        <v>137</v>
      </c>
      <c r="C179" s="7" t="s">
        <v>138</v>
      </c>
      <c r="D179" s="7" t="s">
        <v>139</v>
      </c>
      <c r="E179" s="7" t="s">
        <v>112</v>
      </c>
      <c r="F179" s="7" t="s">
        <v>140</v>
      </c>
      <c r="G179" s="7">
        <v>-89.472727272727596</v>
      </c>
      <c r="H179" s="7">
        <v>546224.54545454599</v>
      </c>
      <c r="I179" s="7">
        <v>927485.45454545401</v>
      </c>
    </row>
    <row r="180" spans="1:9" x14ac:dyDescent="0.3">
      <c r="A180" s="7" t="s">
        <v>342</v>
      </c>
      <c r="B180" s="7" t="s">
        <v>142</v>
      </c>
      <c r="C180" s="7" t="s">
        <v>143</v>
      </c>
      <c r="D180" s="7" t="s">
        <v>105</v>
      </c>
      <c r="E180" s="7" t="s">
        <v>118</v>
      </c>
      <c r="F180" s="7" t="s">
        <v>144</v>
      </c>
      <c r="G180" s="7">
        <v>-90.042424242424602</v>
      </c>
      <c r="H180" s="7">
        <v>549341.81818181905</v>
      </c>
      <c r="I180" s="7">
        <v>932711.51515151502</v>
      </c>
    </row>
    <row r="181" spans="1:9" x14ac:dyDescent="0.3">
      <c r="A181" s="7" t="s">
        <v>343</v>
      </c>
      <c r="B181" s="7" t="s">
        <v>146</v>
      </c>
      <c r="C181" s="7" t="s">
        <v>147</v>
      </c>
      <c r="D181" s="7" t="s">
        <v>99</v>
      </c>
      <c r="E181" s="7" t="s">
        <v>124</v>
      </c>
      <c r="F181" s="7" t="s">
        <v>148</v>
      </c>
      <c r="G181" s="7">
        <v>-90.612121212121593</v>
      </c>
      <c r="H181" s="7">
        <v>552459.09090909106</v>
      </c>
      <c r="I181" s="7">
        <v>937937.57575757499</v>
      </c>
    </row>
    <row r="182" spans="1:9" x14ac:dyDescent="0.3">
      <c r="A182" s="7" t="s">
        <v>344</v>
      </c>
      <c r="B182" s="7" t="s">
        <v>97</v>
      </c>
      <c r="C182" s="7" t="s">
        <v>98</v>
      </c>
      <c r="D182" s="7" t="s">
        <v>99</v>
      </c>
      <c r="E182" s="7" t="s">
        <v>100</v>
      </c>
      <c r="F182" s="7" t="s">
        <v>101</v>
      </c>
      <c r="G182" s="7">
        <v>-91.181818181818599</v>
      </c>
      <c r="H182" s="7">
        <v>555576.363636364</v>
      </c>
      <c r="I182" s="7">
        <v>943163.636363636</v>
      </c>
    </row>
    <row r="183" spans="1:9" x14ac:dyDescent="0.3">
      <c r="A183" s="7" t="s">
        <v>345</v>
      </c>
      <c r="B183" s="7" t="s">
        <v>103</v>
      </c>
      <c r="C183" s="7" t="s">
        <v>104</v>
      </c>
      <c r="D183" s="7" t="s">
        <v>105</v>
      </c>
      <c r="E183" s="7" t="s">
        <v>106</v>
      </c>
      <c r="F183" s="7" t="s">
        <v>107</v>
      </c>
      <c r="G183" s="7">
        <v>-91.751515151514596</v>
      </c>
      <c r="H183" s="7">
        <v>558693.63636363705</v>
      </c>
      <c r="I183" s="7">
        <v>948389.69696969597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Sheet2</vt:lpstr>
      <vt:lpstr>Employee</vt:lpstr>
      <vt:lpstr>BD_Sales</vt:lpstr>
      <vt:lpstr>Date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Sazzadul Islam</dc:creator>
  <cp:lastModifiedBy>Sazzadul Islam</cp:lastModifiedBy>
  <dcterms:created xsi:type="dcterms:W3CDTF">2025-07-21T09:59:32Z</dcterms:created>
  <dcterms:modified xsi:type="dcterms:W3CDTF">2026-02-25T05:17:22Z</dcterms:modified>
</cp:coreProperties>
</file>